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f67fc1795e05448b/Documents/"/>
    </mc:Choice>
  </mc:AlternateContent>
  <xr:revisionPtr revIDLastSave="541" documentId="8_{1CD3AD82-5B1F-4833-A601-39A28E0F1408}" xr6:coauthVersionLast="47" xr6:coauthVersionMax="47" xr10:uidLastSave="{64DC2783-C2D7-4EE5-898D-9D47B0399432}"/>
  <bookViews>
    <workbookView xWindow="-108" yWindow="-108" windowWidth="23256" windowHeight="13896" activeTab="2" xr2:uid="{6993907E-0B11-4CFC-BCD4-D12789B64AC7}"/>
  </bookViews>
  <sheets>
    <sheet name="Sheet1" sheetId="3" r:id="rId1"/>
    <sheet name="Sheet2" sheetId="5" r:id="rId2"/>
    <sheet name="food_ordering_behavior_dataset" sheetId="1" r:id="rId3"/>
  </sheets>
  <definedNames>
    <definedName name="_xlchart.v1.0" hidden="1">food_ordering_behavior_dataset!$J$1</definedName>
    <definedName name="_xlchart.v1.1" hidden="1">food_ordering_behavior_dataset!$J$2:$J$201</definedName>
    <definedName name="_xlchart.v1.2" hidden="1">food_ordering_behavior_dataset!$J$1</definedName>
    <definedName name="_xlchart.v1.3" hidden="1">food_ordering_behavior_dataset!$J$2:$J$201</definedName>
    <definedName name="Slicer_city">#N/A</definedName>
    <definedName name="Slicer_cuisine">#N/A</definedName>
    <definedName name="Slicer_day_type">#N/A</definedName>
    <definedName name="Slicer_order_time">#N/A</definedName>
  </definedNames>
  <calcPr calcId="191029"/>
  <pivotCaches>
    <pivotCache cacheId="12"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3" l="1"/>
  <c r="A2" i="3"/>
</calcChain>
</file>

<file path=xl/sharedStrings.xml><?xml version="1.0" encoding="utf-8"?>
<sst xmlns="http://schemas.openxmlformats.org/spreadsheetml/2006/main" count="2451" uniqueCount="65">
  <si>
    <t>order_id</t>
  </si>
  <si>
    <t>user_id</t>
  </si>
  <si>
    <t>age</t>
  </si>
  <si>
    <t>city</t>
  </si>
  <si>
    <t>order_time</t>
  </si>
  <si>
    <t>day_type</t>
  </si>
  <si>
    <t>cuisine</t>
  </si>
  <si>
    <t>meal_type</t>
  </si>
  <si>
    <t>restaurant_type</t>
  </si>
  <si>
    <t>order_value</t>
  </si>
  <si>
    <t>discount_applied</t>
  </si>
  <si>
    <t>delivery_fee</t>
  </si>
  <si>
    <t>time_taken_to_order</t>
  </si>
  <si>
    <t>rating_given</t>
  </si>
  <si>
    <t>is_repeat_order</t>
  </si>
  <si>
    <t>mood</t>
  </si>
  <si>
    <t>hunger_level</t>
  </si>
  <si>
    <t>company</t>
  </si>
  <si>
    <t>rainy_weather</t>
  </si>
  <si>
    <t>Pune</t>
  </si>
  <si>
    <t>Evening</t>
  </si>
  <si>
    <t>Weekend</t>
  </si>
  <si>
    <t>Chinese</t>
  </si>
  <si>
    <t>Dinner</t>
  </si>
  <si>
    <t>Premium</t>
  </si>
  <si>
    <t>Yes</t>
  </si>
  <si>
    <t>Celebrating</t>
  </si>
  <si>
    <t>High</t>
  </si>
  <si>
    <t>Partner</t>
  </si>
  <si>
    <t>No</t>
  </si>
  <si>
    <t>Mumbai</t>
  </si>
  <si>
    <t>Night</t>
  </si>
  <si>
    <t>South Indian</t>
  </si>
  <si>
    <t>Budget</t>
  </si>
  <si>
    <t>Lazy</t>
  </si>
  <si>
    <t>Low</t>
  </si>
  <si>
    <t>Family</t>
  </si>
  <si>
    <t>Delhi</t>
  </si>
  <si>
    <t>Morning</t>
  </si>
  <si>
    <t>Biryani</t>
  </si>
  <si>
    <t>Breakfast</t>
  </si>
  <si>
    <t>Mid-range</t>
  </si>
  <si>
    <t>Happy</t>
  </si>
  <si>
    <t>Medium</t>
  </si>
  <si>
    <t>Friends</t>
  </si>
  <si>
    <t>Snacks</t>
  </si>
  <si>
    <t>Alone</t>
  </si>
  <si>
    <t>Chandigarh</t>
  </si>
  <si>
    <t>Weekday</t>
  </si>
  <si>
    <t>Lunch</t>
  </si>
  <si>
    <t>Afternoon</t>
  </si>
  <si>
    <t>Stressed</t>
  </si>
  <si>
    <t>Bangalore</t>
  </si>
  <si>
    <t>Fast Food</t>
  </si>
  <si>
    <t>North Indian</t>
  </si>
  <si>
    <t>Desserts</t>
  </si>
  <si>
    <t>Hyderabad</t>
  </si>
  <si>
    <t>Row Labels</t>
  </si>
  <si>
    <t>Grand Total</t>
  </si>
  <si>
    <t>Count of order_id</t>
  </si>
  <si>
    <t>Total Orders</t>
  </si>
  <si>
    <t>Avg Order Value</t>
  </si>
  <si>
    <t xml:space="preserve">Top City </t>
  </si>
  <si>
    <t>Top Cuisine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</si>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</sst>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18"/>
      <color theme="2" tint="-0.749992370372631"/>
      <name val="Calibri"/>
      <family val="2"/>
      <scheme val="minor"/>
    </font>
    <font>
      <sz val="18"/>
      <color theme="2" tint="-0.74999237037263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0" fontId="18" fillId="0" borderId="0" xfId="0" applyFont="1" applyAlignment="1">
      <alignment horizontal="center"/>
    </xf>
    <xf numFmtId="0" fontId="19" fillId="0" borderId="0" xfId="0" applyFon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[Food_Ordering_Dashboard.xlsx]Sheet2!PivotTable1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City-wise</a:t>
            </a:r>
            <a:r>
              <a:rPr lang="en-IN" baseline="0"/>
              <a:t> Order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Sheet2!$B$1</c:f>
              <c:strCache>
                <c:ptCount val="1"/>
                <c:pt idx="0">
                  <c:v>Total</c:v>
                </c:pt>
              </c:strCache>
            </c:strRef>
          </c:tx>
          <c:spPr>
            <a:solidFill>
              <a:schemeClr val="accent1"/>
            </a:solidFill>
            <a:ln>
              <a:noFill/>
            </a:ln>
            <a:effectLst/>
          </c:spPr>
          <c:invertIfNegative val="0"/>
          <c:cat>
            <c:strRef>
              <c:f>Sheet2!$A$2:$A$8</c:f>
              <c:strCache>
                <c:ptCount val="6"/>
                <c:pt idx="0">
                  <c:v>Bangalore</c:v>
                </c:pt>
                <c:pt idx="1">
                  <c:v>Chandigarh</c:v>
                </c:pt>
                <c:pt idx="2">
                  <c:v>Delhi</c:v>
                </c:pt>
                <c:pt idx="3">
                  <c:v>Hyderabad</c:v>
                </c:pt>
                <c:pt idx="4">
                  <c:v>Mumbai</c:v>
                </c:pt>
                <c:pt idx="5">
                  <c:v>Pune</c:v>
                </c:pt>
              </c:strCache>
            </c:strRef>
          </c:cat>
          <c:val>
            <c:numRef>
              <c:f>Sheet2!$B$2:$B$8</c:f>
              <c:numCache>
                <c:formatCode>General</c:formatCode>
                <c:ptCount val="6"/>
                <c:pt idx="0">
                  <c:v>34</c:v>
                </c:pt>
                <c:pt idx="1">
                  <c:v>37</c:v>
                </c:pt>
                <c:pt idx="2">
                  <c:v>31</c:v>
                </c:pt>
                <c:pt idx="3">
                  <c:v>24</c:v>
                </c:pt>
                <c:pt idx="4">
                  <c:v>38</c:v>
                </c:pt>
                <c:pt idx="5">
                  <c:v>36</c:v>
                </c:pt>
              </c:numCache>
            </c:numRef>
          </c:val>
          <c:extLst>
            <c:ext xmlns:c16="http://schemas.microsoft.com/office/drawing/2014/chart" uri="{C3380CC4-5D6E-409C-BE32-E72D297353CC}">
              <c16:uniqueId val="{00000000-2196-436D-8884-EE48312D17E8}"/>
            </c:ext>
          </c:extLst>
        </c:ser>
        <c:dLbls>
          <c:showLegendKey val="0"/>
          <c:showVal val="0"/>
          <c:showCatName val="0"/>
          <c:showSerName val="0"/>
          <c:showPercent val="0"/>
          <c:showBubbleSize val="0"/>
        </c:dLbls>
        <c:gapWidth val="150"/>
        <c:overlap val="100"/>
        <c:axId val="1498181536"/>
        <c:axId val="1498208896"/>
      </c:barChart>
      <c:catAx>
        <c:axId val="1498181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208896"/>
        <c:crosses val="autoZero"/>
        <c:auto val="1"/>
        <c:lblAlgn val="ctr"/>
        <c:lblOffset val="100"/>
        <c:noMultiLvlLbl val="0"/>
      </c:catAx>
      <c:valAx>
        <c:axId val="1498208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Orders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18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[Food_Ordering_Dashboard.xlsx]Sheet2!PivotTable2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Cuisine</a:t>
            </a:r>
            <a:r>
              <a:rPr lang="en-US" baseline="0"/>
              <a:t> Distribution</a:t>
            </a:r>
            <a:endParaRPr lang="en-US"/>
          </a:p>
        </c:rich>
      </c:tx>
      <c:layout>
        <c:manualLayout>
          <c:xMode val="edge"/>
          <c:yMode val="edge"/>
          <c:x val="0.27953713038706468"/>
          <c:y val="0.1107918153363050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57349081364828"/>
          <c:y val="0.20309966462525517"/>
          <c:w val="0.41147353455818025"/>
          <c:h val="0.68578922426363376"/>
        </c:manualLayout>
      </c:layout>
      <c:pieChart>
        <c:varyColors val="1"/>
        <c:ser>
          <c:idx val="0"/>
          <c:order val="0"/>
          <c:tx>
            <c:strRef>
              <c:f>Sheet2!$E$1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explosion val="2"/>
            <c:spPr>
              <a:solidFill>
                <a:schemeClr val="accent4"/>
              </a:solidFill>
              <a:ln w="19050">
                <a:solidFill>
                  <a:schemeClr val="lt1"/>
                </a:solidFill>
              </a:ln>
              <a:effectLst/>
            </c:spPr>
            <c:extLst>
              <c:ext xmlns:c16="http://schemas.microsoft.com/office/drawing/2014/chart" uri="{C3380CC4-5D6E-409C-BE32-E72D297353CC}">
                <c16:uniqueId val="{00000002-CF6F-497A-9F86-DD94864281F6}"/>
              </c:ext>
            </c:extLst>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Sheet2!$D$2:$D$8</c:f>
              <c:strCache>
                <c:ptCount val="6"/>
                <c:pt idx="0">
                  <c:v>Biryani</c:v>
                </c:pt>
                <c:pt idx="1">
                  <c:v>Chinese</c:v>
                </c:pt>
                <c:pt idx="2">
                  <c:v>Desserts</c:v>
                </c:pt>
                <c:pt idx="3">
                  <c:v>Fast Food</c:v>
                </c:pt>
                <c:pt idx="4">
                  <c:v>North Indian</c:v>
                </c:pt>
                <c:pt idx="5">
                  <c:v>South Indian</c:v>
                </c:pt>
              </c:strCache>
            </c:strRef>
          </c:cat>
          <c:val>
            <c:numRef>
              <c:f>Sheet2!$E$2:$E$8</c:f>
              <c:numCache>
                <c:formatCode>General</c:formatCode>
                <c:ptCount val="6"/>
                <c:pt idx="0">
                  <c:v>33</c:v>
                </c:pt>
                <c:pt idx="1">
                  <c:v>36</c:v>
                </c:pt>
                <c:pt idx="2">
                  <c:v>32</c:v>
                </c:pt>
                <c:pt idx="3">
                  <c:v>28</c:v>
                </c:pt>
                <c:pt idx="4">
                  <c:v>23</c:v>
                </c:pt>
                <c:pt idx="5">
                  <c:v>48</c:v>
                </c:pt>
              </c:numCache>
            </c:numRef>
          </c:val>
          <c:extLst>
            <c:ext xmlns:c16="http://schemas.microsoft.com/office/drawing/2014/chart" uri="{C3380CC4-5D6E-409C-BE32-E72D297353CC}">
              <c16:uniqueId val="{00000000-CF6F-497A-9F86-DD94864281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[Food_Ordering_Dashboard.xlsx]Sheet2!PivotTable4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Time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92038495188118E-2"/>
          <c:y val="0.2401367016622922"/>
          <c:w val="0.74725196850393705"/>
          <c:h val="0.53774387576552929"/>
        </c:manualLayout>
      </c:layout>
      <c:lineChart>
        <c:grouping val="standard"/>
        <c:varyColors val="0"/>
        <c:ser>
          <c:idx val="0"/>
          <c:order val="0"/>
          <c:tx>
            <c:strRef>
              <c:f>Sheet2!$H$1</c:f>
              <c:strCache>
                <c:ptCount val="1"/>
                <c:pt idx="0">
                  <c:v>Total</c:v>
                </c:pt>
              </c:strCache>
            </c:strRef>
          </c:tx>
          <c:spPr>
            <a:ln w="28575" cap="rnd">
              <a:solidFill>
                <a:schemeClr val="accent1"/>
              </a:solidFill>
              <a:round/>
            </a:ln>
            <a:effectLst/>
          </c:spPr>
          <c:marker>
            <c:symbol val="none"/>
          </c:marker>
          <c:cat>
            <c:strRef>
              <c:f>Sheet2!$G$2:$G$6</c:f>
              <c:strCache>
                <c:ptCount val="4"/>
                <c:pt idx="0">
                  <c:v>Afternoon</c:v>
                </c:pt>
                <c:pt idx="1">
                  <c:v>Evening</c:v>
                </c:pt>
                <c:pt idx="2">
                  <c:v>Morning</c:v>
                </c:pt>
                <c:pt idx="3">
                  <c:v>Night</c:v>
                </c:pt>
              </c:strCache>
            </c:strRef>
          </c:cat>
          <c:val>
            <c:numRef>
              <c:f>Sheet2!$H$2:$H$6</c:f>
              <c:numCache>
                <c:formatCode>General</c:formatCode>
                <c:ptCount val="4"/>
                <c:pt idx="0">
                  <c:v>51</c:v>
                </c:pt>
                <c:pt idx="1">
                  <c:v>59</c:v>
                </c:pt>
                <c:pt idx="2">
                  <c:v>36</c:v>
                </c:pt>
                <c:pt idx="3">
                  <c:v>54</c:v>
                </c:pt>
              </c:numCache>
            </c:numRef>
          </c:val>
          <c:smooth val="0"/>
          <c:extLst>
            <c:ext xmlns:c16="http://schemas.microsoft.com/office/drawing/2014/chart" uri="{C3380CC4-5D6E-409C-BE32-E72D297353CC}">
              <c16:uniqueId val="{00000000-9544-47D7-8D52-F1102C4A5FF1}"/>
            </c:ext>
          </c:extLst>
        </c:ser>
        <c:dLbls>
          <c:showLegendKey val="0"/>
          <c:showVal val="0"/>
          <c:showCatName val="0"/>
          <c:showSerName val="0"/>
          <c:showPercent val="0"/>
          <c:showBubbleSize val="0"/>
        </c:dLbls>
        <c:smooth val="0"/>
        <c:axId val="1498466944"/>
        <c:axId val="1501722688"/>
      </c:lineChart>
      <c:catAx>
        <c:axId val="1498466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a:t>
                </a:r>
                <a:r>
                  <a:rPr lang="en-IN" baseline="0"/>
                  <a:t> Time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722688"/>
        <c:crosses val="autoZero"/>
        <c:auto val="1"/>
        <c:lblAlgn val="ctr"/>
        <c:lblOffset val="100"/>
        <c:noMultiLvlLbl val="0"/>
      </c:catAx>
      <c:valAx>
        <c:axId val="150172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6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a:t>
            </a:r>
            <a:r>
              <a:rPr lang="en-US" baseline="0"/>
              <a:t> Time vs Customer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15281146166091"/>
          <c:y val="0.15769557823129254"/>
          <c:w val="0.86781055353155478"/>
          <c:h val="0.65351485082221861"/>
        </c:manualLayout>
      </c:layout>
      <c:scatterChart>
        <c:scatterStyle val="lineMarker"/>
        <c:varyColors val="0"/>
        <c:ser>
          <c:idx val="0"/>
          <c:order val="0"/>
          <c:tx>
            <c:strRef>
              <c:f>food_ordering_behavior_dataset!$N$1</c:f>
              <c:strCache>
                <c:ptCount val="1"/>
                <c:pt idx="0">
                  <c:v>rating_given</c:v>
                </c:pt>
              </c:strCache>
            </c:strRef>
          </c:tx>
          <c:spPr>
            <a:ln w="19050" cap="rnd">
              <a:noFill/>
              <a:round/>
            </a:ln>
            <a:effectLst/>
          </c:spPr>
          <c:marker>
            <c:symbol val="circle"/>
            <c:size val="5"/>
            <c:spPr>
              <a:solidFill>
                <a:schemeClr val="accent1"/>
              </a:solidFill>
              <a:ln w="9525">
                <a:solidFill>
                  <a:schemeClr val="accent1"/>
                </a:solidFill>
              </a:ln>
              <a:effectLst/>
            </c:spPr>
          </c:marker>
          <c:xVal>
            <c:numRef>
              <c:f>food_ordering_behavior_dataset!$L$2:$L$201</c:f>
              <c:numCache>
                <c:formatCode>General</c:formatCode>
                <c:ptCount val="200"/>
                <c:pt idx="0">
                  <c:v>90</c:v>
                </c:pt>
                <c:pt idx="1">
                  <c:v>26</c:v>
                </c:pt>
                <c:pt idx="2">
                  <c:v>85</c:v>
                </c:pt>
                <c:pt idx="3">
                  <c:v>44</c:v>
                </c:pt>
                <c:pt idx="4">
                  <c:v>58</c:v>
                </c:pt>
                <c:pt idx="5">
                  <c:v>42</c:v>
                </c:pt>
                <c:pt idx="6">
                  <c:v>28</c:v>
                </c:pt>
                <c:pt idx="7">
                  <c:v>51</c:v>
                </c:pt>
                <c:pt idx="8">
                  <c:v>29</c:v>
                </c:pt>
                <c:pt idx="9">
                  <c:v>51</c:v>
                </c:pt>
                <c:pt idx="10">
                  <c:v>34</c:v>
                </c:pt>
                <c:pt idx="11">
                  <c:v>60</c:v>
                </c:pt>
                <c:pt idx="12">
                  <c:v>20</c:v>
                </c:pt>
                <c:pt idx="13">
                  <c:v>62</c:v>
                </c:pt>
                <c:pt idx="14">
                  <c:v>42</c:v>
                </c:pt>
                <c:pt idx="15">
                  <c:v>20</c:v>
                </c:pt>
                <c:pt idx="16">
                  <c:v>62</c:v>
                </c:pt>
                <c:pt idx="17">
                  <c:v>29</c:v>
                </c:pt>
                <c:pt idx="18">
                  <c:v>87</c:v>
                </c:pt>
                <c:pt idx="19">
                  <c:v>62</c:v>
                </c:pt>
                <c:pt idx="20">
                  <c:v>68</c:v>
                </c:pt>
                <c:pt idx="21">
                  <c:v>55</c:v>
                </c:pt>
                <c:pt idx="22">
                  <c:v>44</c:v>
                </c:pt>
                <c:pt idx="23">
                  <c:v>31</c:v>
                </c:pt>
                <c:pt idx="24">
                  <c:v>79</c:v>
                </c:pt>
                <c:pt idx="25">
                  <c:v>26</c:v>
                </c:pt>
                <c:pt idx="26">
                  <c:v>98</c:v>
                </c:pt>
                <c:pt idx="27">
                  <c:v>20</c:v>
                </c:pt>
                <c:pt idx="28">
                  <c:v>31</c:v>
                </c:pt>
                <c:pt idx="29">
                  <c:v>55</c:v>
                </c:pt>
                <c:pt idx="30">
                  <c:v>78</c:v>
                </c:pt>
                <c:pt idx="31">
                  <c:v>36</c:v>
                </c:pt>
                <c:pt idx="32">
                  <c:v>99</c:v>
                </c:pt>
                <c:pt idx="33">
                  <c:v>24</c:v>
                </c:pt>
                <c:pt idx="34">
                  <c:v>99</c:v>
                </c:pt>
                <c:pt idx="35">
                  <c:v>87</c:v>
                </c:pt>
                <c:pt idx="36">
                  <c:v>68</c:v>
                </c:pt>
                <c:pt idx="37">
                  <c:v>73</c:v>
                </c:pt>
                <c:pt idx="38">
                  <c:v>62</c:v>
                </c:pt>
                <c:pt idx="39">
                  <c:v>20</c:v>
                </c:pt>
                <c:pt idx="40">
                  <c:v>54</c:v>
                </c:pt>
                <c:pt idx="41">
                  <c:v>82</c:v>
                </c:pt>
                <c:pt idx="42">
                  <c:v>56</c:v>
                </c:pt>
                <c:pt idx="43">
                  <c:v>47</c:v>
                </c:pt>
                <c:pt idx="44">
                  <c:v>39</c:v>
                </c:pt>
                <c:pt idx="45">
                  <c:v>37</c:v>
                </c:pt>
                <c:pt idx="46">
                  <c:v>62</c:v>
                </c:pt>
                <c:pt idx="47">
                  <c:v>46</c:v>
                </c:pt>
                <c:pt idx="48">
                  <c:v>83</c:v>
                </c:pt>
                <c:pt idx="49">
                  <c:v>41</c:v>
                </c:pt>
                <c:pt idx="50">
                  <c:v>50</c:v>
                </c:pt>
                <c:pt idx="51">
                  <c:v>24</c:v>
                </c:pt>
                <c:pt idx="52">
                  <c:v>82</c:v>
                </c:pt>
                <c:pt idx="53">
                  <c:v>96</c:v>
                </c:pt>
                <c:pt idx="54">
                  <c:v>95</c:v>
                </c:pt>
                <c:pt idx="55">
                  <c:v>90</c:v>
                </c:pt>
                <c:pt idx="56">
                  <c:v>42</c:v>
                </c:pt>
                <c:pt idx="57">
                  <c:v>37</c:v>
                </c:pt>
                <c:pt idx="58">
                  <c:v>28</c:v>
                </c:pt>
                <c:pt idx="59">
                  <c:v>85</c:v>
                </c:pt>
                <c:pt idx="60">
                  <c:v>31</c:v>
                </c:pt>
                <c:pt idx="61">
                  <c:v>28</c:v>
                </c:pt>
                <c:pt idx="62">
                  <c:v>22</c:v>
                </c:pt>
                <c:pt idx="63">
                  <c:v>91</c:v>
                </c:pt>
                <c:pt idx="64">
                  <c:v>44</c:v>
                </c:pt>
                <c:pt idx="65">
                  <c:v>87</c:v>
                </c:pt>
                <c:pt idx="66">
                  <c:v>61</c:v>
                </c:pt>
                <c:pt idx="67">
                  <c:v>26</c:v>
                </c:pt>
                <c:pt idx="68">
                  <c:v>85</c:v>
                </c:pt>
                <c:pt idx="69">
                  <c:v>60</c:v>
                </c:pt>
                <c:pt idx="70">
                  <c:v>37</c:v>
                </c:pt>
                <c:pt idx="71">
                  <c:v>53</c:v>
                </c:pt>
                <c:pt idx="72">
                  <c:v>55</c:v>
                </c:pt>
                <c:pt idx="73">
                  <c:v>29</c:v>
                </c:pt>
                <c:pt idx="74">
                  <c:v>35</c:v>
                </c:pt>
                <c:pt idx="75">
                  <c:v>91</c:v>
                </c:pt>
                <c:pt idx="76">
                  <c:v>54</c:v>
                </c:pt>
                <c:pt idx="77">
                  <c:v>31</c:v>
                </c:pt>
                <c:pt idx="78">
                  <c:v>76</c:v>
                </c:pt>
                <c:pt idx="79">
                  <c:v>27</c:v>
                </c:pt>
                <c:pt idx="80">
                  <c:v>76</c:v>
                </c:pt>
                <c:pt idx="81">
                  <c:v>95</c:v>
                </c:pt>
                <c:pt idx="82">
                  <c:v>25</c:v>
                </c:pt>
                <c:pt idx="83">
                  <c:v>53</c:v>
                </c:pt>
                <c:pt idx="84">
                  <c:v>49</c:v>
                </c:pt>
                <c:pt idx="85">
                  <c:v>51</c:v>
                </c:pt>
                <c:pt idx="86">
                  <c:v>93</c:v>
                </c:pt>
                <c:pt idx="87">
                  <c:v>24</c:v>
                </c:pt>
                <c:pt idx="88">
                  <c:v>80</c:v>
                </c:pt>
                <c:pt idx="89">
                  <c:v>75</c:v>
                </c:pt>
                <c:pt idx="90">
                  <c:v>56</c:v>
                </c:pt>
                <c:pt idx="91">
                  <c:v>68</c:v>
                </c:pt>
                <c:pt idx="92">
                  <c:v>53</c:v>
                </c:pt>
                <c:pt idx="93">
                  <c:v>84</c:v>
                </c:pt>
                <c:pt idx="94">
                  <c:v>85</c:v>
                </c:pt>
                <c:pt idx="95">
                  <c:v>23</c:v>
                </c:pt>
                <c:pt idx="96">
                  <c:v>42</c:v>
                </c:pt>
                <c:pt idx="97">
                  <c:v>20</c:v>
                </c:pt>
                <c:pt idx="98">
                  <c:v>65</c:v>
                </c:pt>
                <c:pt idx="99">
                  <c:v>99</c:v>
                </c:pt>
                <c:pt idx="100">
                  <c:v>63</c:v>
                </c:pt>
                <c:pt idx="101">
                  <c:v>64</c:v>
                </c:pt>
                <c:pt idx="102">
                  <c:v>74</c:v>
                </c:pt>
                <c:pt idx="103">
                  <c:v>94</c:v>
                </c:pt>
                <c:pt idx="104">
                  <c:v>28</c:v>
                </c:pt>
                <c:pt idx="105">
                  <c:v>70</c:v>
                </c:pt>
                <c:pt idx="106">
                  <c:v>90</c:v>
                </c:pt>
                <c:pt idx="107">
                  <c:v>72</c:v>
                </c:pt>
                <c:pt idx="108">
                  <c:v>48</c:v>
                </c:pt>
                <c:pt idx="109">
                  <c:v>91</c:v>
                </c:pt>
                <c:pt idx="110">
                  <c:v>56</c:v>
                </c:pt>
                <c:pt idx="111">
                  <c:v>42</c:v>
                </c:pt>
                <c:pt idx="112">
                  <c:v>95</c:v>
                </c:pt>
                <c:pt idx="113">
                  <c:v>44</c:v>
                </c:pt>
                <c:pt idx="114">
                  <c:v>65</c:v>
                </c:pt>
                <c:pt idx="115">
                  <c:v>52</c:v>
                </c:pt>
                <c:pt idx="116">
                  <c:v>37</c:v>
                </c:pt>
                <c:pt idx="117">
                  <c:v>50</c:v>
                </c:pt>
                <c:pt idx="118">
                  <c:v>29</c:v>
                </c:pt>
                <c:pt idx="119">
                  <c:v>78</c:v>
                </c:pt>
                <c:pt idx="120">
                  <c:v>37</c:v>
                </c:pt>
                <c:pt idx="121">
                  <c:v>96</c:v>
                </c:pt>
                <c:pt idx="122">
                  <c:v>80</c:v>
                </c:pt>
                <c:pt idx="123">
                  <c:v>32</c:v>
                </c:pt>
                <c:pt idx="124">
                  <c:v>50</c:v>
                </c:pt>
                <c:pt idx="125">
                  <c:v>79</c:v>
                </c:pt>
                <c:pt idx="126">
                  <c:v>74</c:v>
                </c:pt>
                <c:pt idx="127">
                  <c:v>34</c:v>
                </c:pt>
                <c:pt idx="128">
                  <c:v>97</c:v>
                </c:pt>
                <c:pt idx="129">
                  <c:v>31</c:v>
                </c:pt>
                <c:pt idx="130">
                  <c:v>72</c:v>
                </c:pt>
                <c:pt idx="131">
                  <c:v>39</c:v>
                </c:pt>
                <c:pt idx="132">
                  <c:v>26</c:v>
                </c:pt>
                <c:pt idx="133">
                  <c:v>21</c:v>
                </c:pt>
                <c:pt idx="134">
                  <c:v>29</c:v>
                </c:pt>
                <c:pt idx="135">
                  <c:v>22</c:v>
                </c:pt>
                <c:pt idx="136">
                  <c:v>39</c:v>
                </c:pt>
                <c:pt idx="137">
                  <c:v>43</c:v>
                </c:pt>
                <c:pt idx="138">
                  <c:v>87</c:v>
                </c:pt>
                <c:pt idx="139">
                  <c:v>71</c:v>
                </c:pt>
                <c:pt idx="140">
                  <c:v>46</c:v>
                </c:pt>
                <c:pt idx="141">
                  <c:v>60</c:v>
                </c:pt>
                <c:pt idx="142">
                  <c:v>81</c:v>
                </c:pt>
                <c:pt idx="143">
                  <c:v>82</c:v>
                </c:pt>
                <c:pt idx="144">
                  <c:v>23</c:v>
                </c:pt>
                <c:pt idx="145">
                  <c:v>38</c:v>
                </c:pt>
                <c:pt idx="146">
                  <c:v>95</c:v>
                </c:pt>
                <c:pt idx="147">
                  <c:v>25</c:v>
                </c:pt>
                <c:pt idx="148">
                  <c:v>61</c:v>
                </c:pt>
                <c:pt idx="149">
                  <c:v>53</c:v>
                </c:pt>
                <c:pt idx="150">
                  <c:v>89</c:v>
                </c:pt>
                <c:pt idx="151">
                  <c:v>69</c:v>
                </c:pt>
                <c:pt idx="152">
                  <c:v>83</c:v>
                </c:pt>
                <c:pt idx="153">
                  <c:v>87</c:v>
                </c:pt>
                <c:pt idx="154">
                  <c:v>66</c:v>
                </c:pt>
                <c:pt idx="155">
                  <c:v>28</c:v>
                </c:pt>
                <c:pt idx="156">
                  <c:v>48</c:v>
                </c:pt>
                <c:pt idx="157">
                  <c:v>98</c:v>
                </c:pt>
                <c:pt idx="158">
                  <c:v>89</c:v>
                </c:pt>
                <c:pt idx="159">
                  <c:v>74</c:v>
                </c:pt>
                <c:pt idx="160">
                  <c:v>93</c:v>
                </c:pt>
                <c:pt idx="161">
                  <c:v>51</c:v>
                </c:pt>
                <c:pt idx="162">
                  <c:v>91</c:v>
                </c:pt>
                <c:pt idx="163">
                  <c:v>28</c:v>
                </c:pt>
                <c:pt idx="164">
                  <c:v>27</c:v>
                </c:pt>
                <c:pt idx="165">
                  <c:v>27</c:v>
                </c:pt>
                <c:pt idx="166">
                  <c:v>48</c:v>
                </c:pt>
                <c:pt idx="167">
                  <c:v>88</c:v>
                </c:pt>
                <c:pt idx="168">
                  <c:v>24</c:v>
                </c:pt>
                <c:pt idx="169">
                  <c:v>87</c:v>
                </c:pt>
                <c:pt idx="170">
                  <c:v>56</c:v>
                </c:pt>
                <c:pt idx="171">
                  <c:v>99</c:v>
                </c:pt>
                <c:pt idx="172">
                  <c:v>45</c:v>
                </c:pt>
                <c:pt idx="173">
                  <c:v>27</c:v>
                </c:pt>
                <c:pt idx="174">
                  <c:v>67</c:v>
                </c:pt>
                <c:pt idx="175">
                  <c:v>80</c:v>
                </c:pt>
                <c:pt idx="176">
                  <c:v>96</c:v>
                </c:pt>
                <c:pt idx="177">
                  <c:v>20</c:v>
                </c:pt>
                <c:pt idx="178">
                  <c:v>66</c:v>
                </c:pt>
                <c:pt idx="179">
                  <c:v>59</c:v>
                </c:pt>
                <c:pt idx="180">
                  <c:v>88</c:v>
                </c:pt>
                <c:pt idx="181">
                  <c:v>27</c:v>
                </c:pt>
                <c:pt idx="182">
                  <c:v>77</c:v>
                </c:pt>
                <c:pt idx="183">
                  <c:v>97</c:v>
                </c:pt>
                <c:pt idx="184">
                  <c:v>89</c:v>
                </c:pt>
                <c:pt idx="185">
                  <c:v>41</c:v>
                </c:pt>
                <c:pt idx="186">
                  <c:v>85</c:v>
                </c:pt>
                <c:pt idx="187">
                  <c:v>77</c:v>
                </c:pt>
                <c:pt idx="188">
                  <c:v>60</c:v>
                </c:pt>
                <c:pt idx="189">
                  <c:v>22</c:v>
                </c:pt>
                <c:pt idx="190">
                  <c:v>98</c:v>
                </c:pt>
                <c:pt idx="191">
                  <c:v>29</c:v>
                </c:pt>
                <c:pt idx="192">
                  <c:v>42</c:v>
                </c:pt>
                <c:pt idx="193">
                  <c:v>70</c:v>
                </c:pt>
                <c:pt idx="194">
                  <c:v>63</c:v>
                </c:pt>
                <c:pt idx="195">
                  <c:v>43</c:v>
                </c:pt>
                <c:pt idx="196">
                  <c:v>45</c:v>
                </c:pt>
                <c:pt idx="197">
                  <c:v>49</c:v>
                </c:pt>
                <c:pt idx="198">
                  <c:v>74</c:v>
                </c:pt>
                <c:pt idx="199">
                  <c:v>88</c:v>
                </c:pt>
              </c:numCache>
            </c:numRef>
          </c:xVal>
          <c:yVal>
            <c:numRef>
              <c:f>food_ordering_behavior_dataset!$N$2:$N$201</c:f>
              <c:numCache>
                <c:formatCode>General</c:formatCode>
                <c:ptCount val="200"/>
                <c:pt idx="0">
                  <c:v>1</c:v>
                </c:pt>
                <c:pt idx="1">
                  <c:v>2</c:v>
                </c:pt>
                <c:pt idx="2">
                  <c:v>2</c:v>
                </c:pt>
                <c:pt idx="3">
                  <c:v>2</c:v>
                </c:pt>
                <c:pt idx="4">
                  <c:v>2</c:v>
                </c:pt>
                <c:pt idx="5">
                  <c:v>1</c:v>
                </c:pt>
                <c:pt idx="6">
                  <c:v>4</c:v>
                </c:pt>
                <c:pt idx="7">
                  <c:v>2</c:v>
                </c:pt>
                <c:pt idx="8">
                  <c:v>3</c:v>
                </c:pt>
                <c:pt idx="9">
                  <c:v>2</c:v>
                </c:pt>
                <c:pt idx="10">
                  <c:v>1</c:v>
                </c:pt>
                <c:pt idx="11">
                  <c:v>5</c:v>
                </c:pt>
                <c:pt idx="12">
                  <c:v>3</c:v>
                </c:pt>
                <c:pt idx="13">
                  <c:v>3</c:v>
                </c:pt>
                <c:pt idx="14">
                  <c:v>5</c:v>
                </c:pt>
                <c:pt idx="15">
                  <c:v>4</c:v>
                </c:pt>
                <c:pt idx="16">
                  <c:v>1</c:v>
                </c:pt>
                <c:pt idx="17">
                  <c:v>2</c:v>
                </c:pt>
                <c:pt idx="18">
                  <c:v>5</c:v>
                </c:pt>
                <c:pt idx="19">
                  <c:v>5</c:v>
                </c:pt>
                <c:pt idx="20">
                  <c:v>4</c:v>
                </c:pt>
                <c:pt idx="21">
                  <c:v>5</c:v>
                </c:pt>
                <c:pt idx="22">
                  <c:v>4</c:v>
                </c:pt>
                <c:pt idx="23">
                  <c:v>4</c:v>
                </c:pt>
                <c:pt idx="24">
                  <c:v>5</c:v>
                </c:pt>
                <c:pt idx="25">
                  <c:v>3</c:v>
                </c:pt>
                <c:pt idx="26">
                  <c:v>4</c:v>
                </c:pt>
                <c:pt idx="27">
                  <c:v>2</c:v>
                </c:pt>
                <c:pt idx="28">
                  <c:v>3</c:v>
                </c:pt>
                <c:pt idx="29">
                  <c:v>1</c:v>
                </c:pt>
                <c:pt idx="30">
                  <c:v>5</c:v>
                </c:pt>
                <c:pt idx="31">
                  <c:v>1</c:v>
                </c:pt>
                <c:pt idx="32">
                  <c:v>1</c:v>
                </c:pt>
                <c:pt idx="33">
                  <c:v>4</c:v>
                </c:pt>
                <c:pt idx="34">
                  <c:v>4</c:v>
                </c:pt>
                <c:pt idx="35">
                  <c:v>5</c:v>
                </c:pt>
                <c:pt idx="36">
                  <c:v>1</c:v>
                </c:pt>
                <c:pt idx="37">
                  <c:v>3</c:v>
                </c:pt>
                <c:pt idx="38">
                  <c:v>4</c:v>
                </c:pt>
                <c:pt idx="39">
                  <c:v>1</c:v>
                </c:pt>
                <c:pt idx="40">
                  <c:v>4</c:v>
                </c:pt>
                <c:pt idx="41">
                  <c:v>4</c:v>
                </c:pt>
                <c:pt idx="42">
                  <c:v>2</c:v>
                </c:pt>
                <c:pt idx="43">
                  <c:v>4</c:v>
                </c:pt>
                <c:pt idx="44">
                  <c:v>5</c:v>
                </c:pt>
                <c:pt idx="45">
                  <c:v>1</c:v>
                </c:pt>
                <c:pt idx="46">
                  <c:v>5</c:v>
                </c:pt>
                <c:pt idx="47">
                  <c:v>2</c:v>
                </c:pt>
                <c:pt idx="48">
                  <c:v>3</c:v>
                </c:pt>
                <c:pt idx="49">
                  <c:v>2</c:v>
                </c:pt>
                <c:pt idx="50">
                  <c:v>2</c:v>
                </c:pt>
                <c:pt idx="51">
                  <c:v>1</c:v>
                </c:pt>
                <c:pt idx="52">
                  <c:v>2</c:v>
                </c:pt>
                <c:pt idx="53">
                  <c:v>3</c:v>
                </c:pt>
                <c:pt idx="54">
                  <c:v>4</c:v>
                </c:pt>
                <c:pt idx="55">
                  <c:v>4</c:v>
                </c:pt>
                <c:pt idx="56">
                  <c:v>5</c:v>
                </c:pt>
                <c:pt idx="57">
                  <c:v>1</c:v>
                </c:pt>
                <c:pt idx="58">
                  <c:v>1</c:v>
                </c:pt>
                <c:pt idx="59">
                  <c:v>2</c:v>
                </c:pt>
                <c:pt idx="60">
                  <c:v>3</c:v>
                </c:pt>
                <c:pt idx="61">
                  <c:v>1</c:v>
                </c:pt>
                <c:pt idx="62">
                  <c:v>5</c:v>
                </c:pt>
                <c:pt idx="63">
                  <c:v>1</c:v>
                </c:pt>
                <c:pt idx="64">
                  <c:v>3</c:v>
                </c:pt>
                <c:pt idx="65">
                  <c:v>1</c:v>
                </c:pt>
                <c:pt idx="66">
                  <c:v>1</c:v>
                </c:pt>
                <c:pt idx="67">
                  <c:v>4</c:v>
                </c:pt>
                <c:pt idx="68">
                  <c:v>1</c:v>
                </c:pt>
                <c:pt idx="69">
                  <c:v>4</c:v>
                </c:pt>
                <c:pt idx="70">
                  <c:v>1</c:v>
                </c:pt>
                <c:pt idx="71">
                  <c:v>2</c:v>
                </c:pt>
                <c:pt idx="72">
                  <c:v>4</c:v>
                </c:pt>
                <c:pt idx="73">
                  <c:v>4</c:v>
                </c:pt>
                <c:pt idx="74">
                  <c:v>1</c:v>
                </c:pt>
                <c:pt idx="75">
                  <c:v>2</c:v>
                </c:pt>
                <c:pt idx="76">
                  <c:v>4</c:v>
                </c:pt>
                <c:pt idx="77">
                  <c:v>1</c:v>
                </c:pt>
                <c:pt idx="78">
                  <c:v>4</c:v>
                </c:pt>
                <c:pt idx="79">
                  <c:v>4</c:v>
                </c:pt>
                <c:pt idx="80">
                  <c:v>4</c:v>
                </c:pt>
                <c:pt idx="81">
                  <c:v>1</c:v>
                </c:pt>
                <c:pt idx="82">
                  <c:v>5</c:v>
                </c:pt>
                <c:pt idx="83">
                  <c:v>1</c:v>
                </c:pt>
                <c:pt idx="84">
                  <c:v>4</c:v>
                </c:pt>
                <c:pt idx="85">
                  <c:v>5</c:v>
                </c:pt>
                <c:pt idx="86">
                  <c:v>4</c:v>
                </c:pt>
                <c:pt idx="87">
                  <c:v>4</c:v>
                </c:pt>
                <c:pt idx="88">
                  <c:v>3</c:v>
                </c:pt>
                <c:pt idx="89">
                  <c:v>2</c:v>
                </c:pt>
                <c:pt idx="90">
                  <c:v>3</c:v>
                </c:pt>
                <c:pt idx="91">
                  <c:v>4</c:v>
                </c:pt>
                <c:pt idx="92">
                  <c:v>2</c:v>
                </c:pt>
                <c:pt idx="93">
                  <c:v>4</c:v>
                </c:pt>
                <c:pt idx="94">
                  <c:v>4</c:v>
                </c:pt>
                <c:pt idx="95">
                  <c:v>2</c:v>
                </c:pt>
                <c:pt idx="96">
                  <c:v>3</c:v>
                </c:pt>
                <c:pt idx="97">
                  <c:v>1</c:v>
                </c:pt>
                <c:pt idx="98">
                  <c:v>1</c:v>
                </c:pt>
                <c:pt idx="99">
                  <c:v>4</c:v>
                </c:pt>
                <c:pt idx="100">
                  <c:v>4</c:v>
                </c:pt>
                <c:pt idx="101">
                  <c:v>2</c:v>
                </c:pt>
                <c:pt idx="102">
                  <c:v>4</c:v>
                </c:pt>
                <c:pt idx="103">
                  <c:v>5</c:v>
                </c:pt>
                <c:pt idx="104">
                  <c:v>4</c:v>
                </c:pt>
                <c:pt idx="105">
                  <c:v>3</c:v>
                </c:pt>
                <c:pt idx="106">
                  <c:v>3</c:v>
                </c:pt>
                <c:pt idx="107">
                  <c:v>2</c:v>
                </c:pt>
                <c:pt idx="108">
                  <c:v>4</c:v>
                </c:pt>
                <c:pt idx="109">
                  <c:v>2</c:v>
                </c:pt>
                <c:pt idx="110">
                  <c:v>1</c:v>
                </c:pt>
                <c:pt idx="111">
                  <c:v>4</c:v>
                </c:pt>
                <c:pt idx="112">
                  <c:v>1</c:v>
                </c:pt>
                <c:pt idx="113">
                  <c:v>4</c:v>
                </c:pt>
                <c:pt idx="114">
                  <c:v>3</c:v>
                </c:pt>
                <c:pt idx="115">
                  <c:v>5</c:v>
                </c:pt>
                <c:pt idx="116">
                  <c:v>5</c:v>
                </c:pt>
                <c:pt idx="117">
                  <c:v>3</c:v>
                </c:pt>
                <c:pt idx="118">
                  <c:v>1</c:v>
                </c:pt>
                <c:pt idx="119">
                  <c:v>1</c:v>
                </c:pt>
                <c:pt idx="120">
                  <c:v>1</c:v>
                </c:pt>
                <c:pt idx="121">
                  <c:v>3</c:v>
                </c:pt>
                <c:pt idx="122">
                  <c:v>3</c:v>
                </c:pt>
                <c:pt idx="123">
                  <c:v>5</c:v>
                </c:pt>
                <c:pt idx="124">
                  <c:v>5</c:v>
                </c:pt>
                <c:pt idx="125">
                  <c:v>4</c:v>
                </c:pt>
                <c:pt idx="126">
                  <c:v>5</c:v>
                </c:pt>
                <c:pt idx="127">
                  <c:v>5</c:v>
                </c:pt>
                <c:pt idx="128">
                  <c:v>2</c:v>
                </c:pt>
                <c:pt idx="129">
                  <c:v>3</c:v>
                </c:pt>
                <c:pt idx="130">
                  <c:v>5</c:v>
                </c:pt>
                <c:pt idx="131">
                  <c:v>3</c:v>
                </c:pt>
                <c:pt idx="132">
                  <c:v>4</c:v>
                </c:pt>
                <c:pt idx="133">
                  <c:v>4</c:v>
                </c:pt>
                <c:pt idx="134">
                  <c:v>1</c:v>
                </c:pt>
                <c:pt idx="135">
                  <c:v>5</c:v>
                </c:pt>
                <c:pt idx="136">
                  <c:v>4</c:v>
                </c:pt>
                <c:pt idx="137">
                  <c:v>2</c:v>
                </c:pt>
                <c:pt idx="138">
                  <c:v>1</c:v>
                </c:pt>
                <c:pt idx="139">
                  <c:v>1</c:v>
                </c:pt>
                <c:pt idx="140">
                  <c:v>4</c:v>
                </c:pt>
                <c:pt idx="141">
                  <c:v>3</c:v>
                </c:pt>
                <c:pt idx="142">
                  <c:v>4</c:v>
                </c:pt>
                <c:pt idx="143">
                  <c:v>3</c:v>
                </c:pt>
                <c:pt idx="144">
                  <c:v>2</c:v>
                </c:pt>
                <c:pt idx="145">
                  <c:v>4</c:v>
                </c:pt>
                <c:pt idx="146">
                  <c:v>1</c:v>
                </c:pt>
                <c:pt idx="147">
                  <c:v>3</c:v>
                </c:pt>
                <c:pt idx="148">
                  <c:v>2</c:v>
                </c:pt>
                <c:pt idx="149">
                  <c:v>2</c:v>
                </c:pt>
                <c:pt idx="150">
                  <c:v>1</c:v>
                </c:pt>
                <c:pt idx="151">
                  <c:v>1</c:v>
                </c:pt>
                <c:pt idx="152">
                  <c:v>1</c:v>
                </c:pt>
                <c:pt idx="153">
                  <c:v>2</c:v>
                </c:pt>
                <c:pt idx="154">
                  <c:v>2</c:v>
                </c:pt>
                <c:pt idx="155">
                  <c:v>1</c:v>
                </c:pt>
                <c:pt idx="156">
                  <c:v>2</c:v>
                </c:pt>
                <c:pt idx="157">
                  <c:v>2</c:v>
                </c:pt>
                <c:pt idx="158">
                  <c:v>3</c:v>
                </c:pt>
                <c:pt idx="159">
                  <c:v>5</c:v>
                </c:pt>
                <c:pt idx="160">
                  <c:v>2</c:v>
                </c:pt>
                <c:pt idx="161">
                  <c:v>1</c:v>
                </c:pt>
                <c:pt idx="162">
                  <c:v>2</c:v>
                </c:pt>
                <c:pt idx="163">
                  <c:v>2</c:v>
                </c:pt>
                <c:pt idx="164">
                  <c:v>3</c:v>
                </c:pt>
                <c:pt idx="165">
                  <c:v>3</c:v>
                </c:pt>
                <c:pt idx="166">
                  <c:v>2</c:v>
                </c:pt>
                <c:pt idx="167">
                  <c:v>1</c:v>
                </c:pt>
                <c:pt idx="168">
                  <c:v>4</c:v>
                </c:pt>
                <c:pt idx="169">
                  <c:v>4</c:v>
                </c:pt>
                <c:pt idx="170">
                  <c:v>2</c:v>
                </c:pt>
                <c:pt idx="171">
                  <c:v>4</c:v>
                </c:pt>
                <c:pt idx="172">
                  <c:v>3</c:v>
                </c:pt>
                <c:pt idx="173">
                  <c:v>2</c:v>
                </c:pt>
                <c:pt idx="174">
                  <c:v>1</c:v>
                </c:pt>
                <c:pt idx="175">
                  <c:v>1</c:v>
                </c:pt>
                <c:pt idx="176">
                  <c:v>4</c:v>
                </c:pt>
                <c:pt idx="177">
                  <c:v>5</c:v>
                </c:pt>
                <c:pt idx="178">
                  <c:v>1</c:v>
                </c:pt>
                <c:pt idx="179">
                  <c:v>1</c:v>
                </c:pt>
                <c:pt idx="180">
                  <c:v>5</c:v>
                </c:pt>
                <c:pt idx="181">
                  <c:v>1</c:v>
                </c:pt>
                <c:pt idx="182">
                  <c:v>2</c:v>
                </c:pt>
                <c:pt idx="183">
                  <c:v>1</c:v>
                </c:pt>
                <c:pt idx="184">
                  <c:v>2</c:v>
                </c:pt>
                <c:pt idx="185">
                  <c:v>2</c:v>
                </c:pt>
                <c:pt idx="186">
                  <c:v>2</c:v>
                </c:pt>
                <c:pt idx="187">
                  <c:v>3</c:v>
                </c:pt>
                <c:pt idx="188">
                  <c:v>1</c:v>
                </c:pt>
                <c:pt idx="189">
                  <c:v>4</c:v>
                </c:pt>
                <c:pt idx="190">
                  <c:v>3</c:v>
                </c:pt>
                <c:pt idx="191">
                  <c:v>1</c:v>
                </c:pt>
                <c:pt idx="192">
                  <c:v>3</c:v>
                </c:pt>
                <c:pt idx="193">
                  <c:v>2</c:v>
                </c:pt>
                <c:pt idx="194">
                  <c:v>4</c:v>
                </c:pt>
                <c:pt idx="195">
                  <c:v>5</c:v>
                </c:pt>
                <c:pt idx="196">
                  <c:v>5</c:v>
                </c:pt>
                <c:pt idx="197">
                  <c:v>5</c:v>
                </c:pt>
                <c:pt idx="198">
                  <c:v>3</c:v>
                </c:pt>
                <c:pt idx="199">
                  <c:v>5</c:v>
                </c:pt>
              </c:numCache>
            </c:numRef>
          </c:yVal>
          <c:smooth val="0"/>
          <c:extLst>
            <c:ext xmlns:c16="http://schemas.microsoft.com/office/drawing/2014/chart" uri="{C3380CC4-5D6E-409C-BE32-E72D297353CC}">
              <c16:uniqueId val="{00000000-121F-4562-BC8B-DB9242D6F231}"/>
            </c:ext>
          </c:extLst>
        </c:ser>
        <c:dLbls>
          <c:showLegendKey val="0"/>
          <c:showVal val="0"/>
          <c:showCatName val="0"/>
          <c:showSerName val="0"/>
          <c:showPercent val="0"/>
          <c:showBubbleSize val="0"/>
        </c:dLbls>
        <c:axId val="1560937648"/>
        <c:axId val="1560938608"/>
      </c:scatterChart>
      <c:valAx>
        <c:axId val="15609376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Delivery</a:t>
                </a:r>
                <a:r>
                  <a:rPr lang="en-IN" baseline="0"/>
                  <a:t> Time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38608"/>
        <c:crosses val="autoZero"/>
        <c:crossBetween val="midCat"/>
      </c:valAx>
      <c:valAx>
        <c:axId val="1560938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376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Order Value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Order Value Distribution</a:t>
          </a:r>
        </a:p>
      </cx:txPr>
    </cx:title>
    <cx:plotArea>
      <cx:plotAreaRegion>
        <cx:series layoutId="clusteredColumn" uniqueId="{00A5A9DD-0E5E-460B-A2F1-B554765DED4C}">
          <cx:tx>
            <cx:txData>
              <cx:f>_xlchart.v1.2</cx:f>
              <cx:v>order_value</cx:v>
            </cx:txData>
          </cx:tx>
          <cx:dataId val="0"/>
          <cx:layoutPr>
            <cx:binning intervalClosed="r"/>
          </cx:layoutPr>
        </cx:series>
      </cx:plotAreaRegion>
      <cx:axis id="0">
        <cx:catScaling gapWidth="0"/>
        <cx:title>
          <cx:tx>
            <cx:txData>
              <cx:v>Order Value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Order Value</a:t>
              </a:r>
            </a:p>
          </cx:txPr>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xdr:colOff>
      <xdr:row>17</xdr:row>
      <xdr:rowOff>7620</xdr:rowOff>
    </xdr:from>
    <xdr:to>
      <xdr:col>6</xdr:col>
      <xdr:colOff>304800</xdr:colOff>
      <xdr:row>31</xdr:row>
      <xdr:rowOff>106680</xdr:rowOff>
    </xdr:to>
    <xdr:graphicFrame macro="">
      <xdr:nvGraphicFramePr>
        <xdr:cNvPr id="2" name="Chart 1">
          <a:extLst>
            <a:ext uri="{FF2B5EF4-FFF2-40B4-BE49-F238E27FC236}">
              <a16:creationId xmlns:a16="http://schemas.microsoft.com/office/drawing/2014/main" id="{52260F49-EFDA-48BA-5EDE-F125CBE3C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32</xdr:row>
      <xdr:rowOff>30480</xdr:rowOff>
    </xdr:from>
    <xdr:to>
      <xdr:col>6</xdr:col>
      <xdr:colOff>320040</xdr:colOff>
      <xdr:row>46</xdr:row>
      <xdr:rowOff>175260</xdr:rowOff>
    </xdr:to>
    <xdr:graphicFrame macro="">
      <xdr:nvGraphicFramePr>
        <xdr:cNvPr id="3" name="Chart 2">
          <a:extLst>
            <a:ext uri="{FF2B5EF4-FFF2-40B4-BE49-F238E27FC236}">
              <a16:creationId xmlns:a16="http://schemas.microsoft.com/office/drawing/2014/main" id="{D961951F-9245-8768-2BC4-6961424E0B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388620</xdr:colOff>
      <xdr:row>17</xdr:row>
      <xdr:rowOff>0</xdr:rowOff>
    </xdr:from>
    <xdr:to>
      <xdr:col>12</xdr:col>
      <xdr:colOff>381000</xdr:colOff>
      <xdr:row>31</xdr:row>
      <xdr:rowOff>76200</xdr:rowOff>
    </xdr:to>
    <xdr:graphicFrame macro="">
      <xdr:nvGraphicFramePr>
        <xdr:cNvPr id="4" name="Chart 3">
          <a:extLst>
            <a:ext uri="{FF2B5EF4-FFF2-40B4-BE49-F238E27FC236}">
              <a16:creationId xmlns:a16="http://schemas.microsoft.com/office/drawing/2014/main" id="{90366C33-097F-3F10-C7AD-E62968A63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434340</xdr:colOff>
      <xdr:row>32</xdr:row>
      <xdr:rowOff>7620</xdr:rowOff>
    </xdr:from>
    <xdr:to>
      <xdr:col>12</xdr:col>
      <xdr:colOff>449580</xdr:colOff>
      <xdr:row>46</xdr:row>
      <xdr:rowOff>175260</xdr:rowOff>
    </xdr:to>
    <xdr:graphicFrame macro="">
      <xdr:nvGraphicFramePr>
        <xdr:cNvPr id="5" name="Chart 4">
          <a:extLst>
            <a:ext uri="{FF2B5EF4-FFF2-40B4-BE49-F238E27FC236}">
              <a16:creationId xmlns:a16="http://schemas.microsoft.com/office/drawing/2014/main" id="{F01918B1-BF4B-4F74-A07C-4A7ECF685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480060</xdr:colOff>
      <xdr:row>17</xdr:row>
      <xdr:rowOff>0</xdr:rowOff>
    </xdr:from>
    <xdr:to>
      <xdr:col>20</xdr:col>
      <xdr:colOff>388620</xdr:colOff>
      <xdr:row>31</xdr:row>
      <xdr:rowOff>60960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ED0A5997-4C5F-444A-A5E4-27DF71AAF9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273540" y="3368040"/>
              <a:ext cx="4785360" cy="2621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853440</xdr:colOff>
      <xdr:row>3</xdr:row>
      <xdr:rowOff>7620</xdr:rowOff>
    </xdr:from>
    <xdr:to>
      <xdr:col>3</xdr:col>
      <xdr:colOff>114300</xdr:colOff>
      <xdr:row>16</xdr:row>
      <xdr:rowOff>97155</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37A2E07D-99BC-476F-8668-81BA5B4240D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53440" y="883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3</xdr:row>
      <xdr:rowOff>15240</xdr:rowOff>
    </xdr:from>
    <xdr:to>
      <xdr:col>7</xdr:col>
      <xdr:colOff>0</xdr:colOff>
      <xdr:row>16</xdr:row>
      <xdr:rowOff>104775</xdr:rowOff>
    </xdr:to>
    <mc:AlternateContent xmlns:mc="http://schemas.openxmlformats.org/markup-compatibility/2006">
      <mc:Choice xmlns:a14="http://schemas.microsoft.com/office/drawing/2010/main" Requires="a14">
        <xdr:graphicFrame macro="">
          <xdr:nvGraphicFramePr>
            <xdr:cNvPr id="9" name="order_time">
              <a:extLst>
                <a:ext uri="{FF2B5EF4-FFF2-40B4-BE49-F238E27FC236}">
                  <a16:creationId xmlns:a16="http://schemas.microsoft.com/office/drawing/2014/main" id="{88D44ED4-568C-4354-B616-079BC1FE44E6}"/>
                </a:ext>
              </a:extLst>
            </xdr:cNvPr>
            <xdr:cNvGraphicFramePr/>
          </xdr:nvGraphicFramePr>
          <xdr:xfrm>
            <a:off x="0" y="0"/>
            <a:ext cx="0" cy="0"/>
          </xdr:xfrm>
          <a:graphic>
            <a:graphicData uri="http://schemas.microsoft.com/office/drawing/2010/slicer">
              <sle:slicer xmlns:sle="http://schemas.microsoft.com/office/drawing/2010/slicer" name="order_time"/>
            </a:graphicData>
          </a:graphic>
        </xdr:graphicFrame>
      </mc:Choice>
      <mc:Fallback>
        <xdr:sp macro="" textlink="">
          <xdr:nvSpPr>
            <xdr:cNvPr id="0" name=""/>
            <xdr:cNvSpPr>
              <a:spLocks noTextEdit="1"/>
            </xdr:cNvSpPr>
          </xdr:nvSpPr>
          <xdr:spPr>
            <a:xfrm>
              <a:off x="3177540" y="891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3</xdr:row>
      <xdr:rowOff>7620</xdr:rowOff>
    </xdr:from>
    <xdr:to>
      <xdr:col>10</xdr:col>
      <xdr:colOff>609600</xdr:colOff>
      <xdr:row>16</xdr:row>
      <xdr:rowOff>97155</xdr:rowOff>
    </xdr:to>
    <mc:AlternateContent xmlns:mc="http://schemas.openxmlformats.org/markup-compatibility/2006">
      <mc:Choice xmlns:a14="http://schemas.microsoft.com/office/drawing/2010/main" Requires="a14">
        <xdr:graphicFrame macro="">
          <xdr:nvGraphicFramePr>
            <xdr:cNvPr id="10" name="day_type">
              <a:extLst>
                <a:ext uri="{FF2B5EF4-FFF2-40B4-BE49-F238E27FC236}">
                  <a16:creationId xmlns:a16="http://schemas.microsoft.com/office/drawing/2014/main" id="{0A8C2E7E-8C1E-4AC2-8A9C-DACBA11D9F91}"/>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dr:sp macro="" textlink="">
          <xdr:nvSpPr>
            <xdr:cNvPr id="0" name=""/>
            <xdr:cNvSpPr>
              <a:spLocks noTextEdit="1"/>
            </xdr:cNvSpPr>
          </xdr:nvSpPr>
          <xdr:spPr>
            <a:xfrm>
              <a:off x="5615940" y="883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358140</xdr:colOff>
      <xdr:row>3</xdr:row>
      <xdr:rowOff>7620</xdr:rowOff>
    </xdr:from>
    <xdr:to>
      <xdr:col>13</xdr:col>
      <xdr:colOff>480060</xdr:colOff>
      <xdr:row>16</xdr:row>
      <xdr:rowOff>97155</xdr:rowOff>
    </xdr:to>
    <mc:AlternateContent xmlns:mc="http://schemas.openxmlformats.org/markup-compatibility/2006">
      <mc:Choice xmlns:a14="http://schemas.microsoft.com/office/drawing/2010/main" Requires="a14">
        <xdr:graphicFrame macro="">
          <xdr:nvGraphicFramePr>
            <xdr:cNvPr id="11" name="cuisine">
              <a:extLst>
                <a:ext uri="{FF2B5EF4-FFF2-40B4-BE49-F238E27FC236}">
                  <a16:creationId xmlns:a16="http://schemas.microsoft.com/office/drawing/2014/main" id="{31A3B50A-085F-47EE-99DD-39CBB041BE2F}"/>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dr:sp macro="" textlink="">
          <xdr:nvSpPr>
            <xdr:cNvPr id="0" name=""/>
            <xdr:cNvSpPr>
              <a:spLocks noTextEdit="1"/>
            </xdr:cNvSpPr>
          </xdr:nvSpPr>
          <xdr:spPr>
            <a:xfrm>
              <a:off x="8054340" y="883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14</xdr:col>
      <xdr:colOff>251460</xdr:colOff>
      <xdr:row>4</xdr:row>
      <xdr:rowOff>167640</xdr:rowOff>
    </xdr:from>
    <xdr:ext cx="3698898" cy="1219565"/>
    <xdr:sp macro="" textlink="">
      <xdr:nvSpPr>
        <xdr:cNvPr id="14" name="TextBox 13">
          <a:extLst>
            <a:ext uri="{FF2B5EF4-FFF2-40B4-BE49-F238E27FC236}">
              <a16:creationId xmlns:a16="http://schemas.microsoft.com/office/drawing/2014/main" id="{ABFD5850-7292-49B6-B71A-8181CD5910BE}"/>
            </a:ext>
          </a:extLst>
        </xdr:cNvPr>
        <xdr:cNvSpPr txBox="1"/>
      </xdr:nvSpPr>
      <xdr:spPr>
        <a:xfrm>
          <a:off x="10264140" y="1226820"/>
          <a:ext cx="3698898" cy="1219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t>Insights:</a:t>
          </a:r>
        </a:p>
        <a:p>
          <a:r>
            <a:rPr lang="en-IN" sz="1800" b="1"/>
            <a:t>• Mumbai has highest order volume </a:t>
          </a:r>
          <a:br>
            <a:rPr lang="en-IN" sz="1800" b="1"/>
          </a:br>
          <a:r>
            <a:rPr lang="en-IN" sz="1800" b="1"/>
            <a:t>• Evening is peak ordering time </a:t>
          </a:r>
          <a:br>
            <a:rPr lang="en-IN" sz="1800" b="1"/>
          </a:br>
          <a:r>
            <a:rPr lang="en-IN" sz="1800" b="1"/>
            <a:t>• South Indian cuisine dominates </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raja" refreshedDate="46110.836612962965" createdVersion="8" refreshedVersion="8" minRefreshableVersion="3" recordCount="200" xr:uid="{82DA3348-6C16-4891-938F-B74474D7E12B}">
  <cacheSource type="worksheet">
    <worksheetSource ref="A1:S201" sheet="food_ordering_behavior_dataset"/>
  </cacheSource>
  <cacheFields count="19">
    <cacheField name="order_id" numFmtId="0">
      <sharedItems containsSemiMixedTypes="0" containsString="0" containsNumber="1" containsInteger="1" minValue="1" maxValue="200"/>
    </cacheField>
    <cacheField name="user_id" numFmtId="0">
      <sharedItems containsSemiMixedTypes="0" containsString="0" containsNumber="1" containsInteger="1" minValue="1058" maxValue="4908"/>
    </cacheField>
    <cacheField name="age" numFmtId="0">
      <sharedItems containsSemiMixedTypes="0" containsString="0" containsNumber="1" containsInteger="1" minValue="18" maxValue="44"/>
    </cacheField>
    <cacheField name="city" numFmtId="0">
      <sharedItems count="6">
        <s v="Pune"/>
        <s v="Mumbai"/>
        <s v="Delhi"/>
        <s v="Chandigarh"/>
        <s v="Bangalore"/>
        <s v="Hyderabad"/>
      </sharedItems>
    </cacheField>
    <cacheField name="order_time" numFmtId="0">
      <sharedItems count="4">
        <s v="Evening"/>
        <s v="Night"/>
        <s v="Morning"/>
        <s v="Afternoon"/>
      </sharedItems>
    </cacheField>
    <cacheField name="day_type" numFmtId="0">
      <sharedItems count="2">
        <s v="Weekend"/>
        <s v="Weekday"/>
      </sharedItems>
    </cacheField>
    <cacheField name="cuisine" numFmtId="0">
      <sharedItems count="6">
        <s v="Chinese"/>
        <s v="South Indian"/>
        <s v="Biryani"/>
        <s v="Fast Food"/>
        <s v="North Indian"/>
        <s v="Desserts"/>
      </sharedItems>
    </cacheField>
    <cacheField name="meal_type" numFmtId="0">
      <sharedItems/>
    </cacheField>
    <cacheField name="restaurant_type" numFmtId="0">
      <sharedItems/>
    </cacheField>
    <cacheField name="order_value" numFmtId="0">
      <sharedItems containsSemiMixedTypes="0" containsString="0" containsNumber="1" containsInteger="1" minValue="100" maxValue="992"/>
    </cacheField>
    <cacheField name="discount_applied" numFmtId="0">
      <sharedItems/>
    </cacheField>
    <cacheField name="delivery_fee" numFmtId="0">
      <sharedItems containsSemiMixedTypes="0" containsString="0" containsNumber="1" containsInteger="1" minValue="20" maxValue="99"/>
    </cacheField>
    <cacheField name="time_taken_to_order" numFmtId="0">
      <sharedItems containsSemiMixedTypes="0" containsString="0" containsNumber="1" containsInteger="1" minValue="1" maxValue="14"/>
    </cacheField>
    <cacheField name="rating_given" numFmtId="0">
      <sharedItems containsSemiMixedTypes="0" containsString="0" containsNumber="1" containsInteger="1" minValue="1" maxValue="5"/>
    </cacheField>
    <cacheField name="is_repeat_order" numFmtId="0">
      <sharedItems/>
    </cacheField>
    <cacheField name="mood" numFmtId="0">
      <sharedItems count="4">
        <s v="Celebrating"/>
        <s v="Lazy"/>
        <s v="Happy"/>
        <s v="Stressed"/>
      </sharedItems>
    </cacheField>
    <cacheField name="hunger_level" numFmtId="0">
      <sharedItems/>
    </cacheField>
    <cacheField name="company" numFmtId="0">
      <sharedItems/>
    </cacheField>
    <cacheField name="rainy_weather" numFmtId="0">
      <sharedItems/>
    </cacheField>
  </cacheFields>
  <extLst>
    <ext xmlns:x14="http://schemas.microsoft.com/office/spreadsheetml/2009/9/main" uri="{725AE2AE-9491-48be-B2B4-4EB974FC3084}">
      <x14:pivotCacheDefinition pivotCacheId="290979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n v="2698"/>
    <n v="35"/>
    <x v="0"/>
    <x v="0"/>
    <x v="0"/>
    <x v="0"/>
    <s v="Dinner"/>
    <s v="Premium"/>
    <n v="971"/>
    <s v="Yes"/>
    <n v="90"/>
    <n v="13"/>
    <n v="1"/>
    <s v="Yes"/>
    <x v="0"/>
    <s v="High"/>
    <s v="Partner"/>
    <s v="No"/>
  </r>
  <r>
    <n v="2"/>
    <n v="3237"/>
    <n v="44"/>
    <x v="1"/>
    <x v="1"/>
    <x v="0"/>
    <x v="1"/>
    <s v="Dinner"/>
    <s v="Budget"/>
    <n v="442"/>
    <s v="No"/>
    <n v="26"/>
    <n v="13"/>
    <n v="2"/>
    <s v="No"/>
    <x v="1"/>
    <s v="Low"/>
    <s v="Family"/>
    <s v="No"/>
  </r>
  <r>
    <n v="3"/>
    <n v="3626"/>
    <n v="31"/>
    <x v="2"/>
    <x v="2"/>
    <x v="0"/>
    <x v="2"/>
    <s v="Breakfast"/>
    <s v="Mid-range"/>
    <n v="739"/>
    <s v="Yes"/>
    <n v="85"/>
    <n v="10"/>
    <n v="2"/>
    <s v="Yes"/>
    <x v="2"/>
    <s v="Medium"/>
    <s v="Friends"/>
    <s v="No"/>
  </r>
  <r>
    <n v="4"/>
    <n v="3176"/>
    <n v="23"/>
    <x v="2"/>
    <x v="0"/>
    <x v="0"/>
    <x v="2"/>
    <s v="Snacks"/>
    <s v="Mid-range"/>
    <n v="466"/>
    <s v="No"/>
    <n v="44"/>
    <n v="12"/>
    <n v="2"/>
    <s v="No"/>
    <x v="2"/>
    <s v="Medium"/>
    <s v="Alone"/>
    <s v="No"/>
  </r>
  <r>
    <n v="5"/>
    <n v="4824"/>
    <n v="26"/>
    <x v="3"/>
    <x v="2"/>
    <x v="1"/>
    <x v="0"/>
    <s v="Lunch"/>
    <s v="Premium"/>
    <n v="927"/>
    <s v="Yes"/>
    <n v="58"/>
    <n v="13"/>
    <n v="2"/>
    <s v="No"/>
    <x v="2"/>
    <s v="Medium"/>
    <s v="Partner"/>
    <s v="Yes"/>
  </r>
  <r>
    <n v="6"/>
    <n v="2854"/>
    <n v="33"/>
    <x v="1"/>
    <x v="3"/>
    <x v="0"/>
    <x v="2"/>
    <s v="Dinner"/>
    <s v="Budget"/>
    <n v="207"/>
    <s v="No"/>
    <n v="42"/>
    <n v="1"/>
    <n v="1"/>
    <s v="No"/>
    <x v="3"/>
    <s v="High"/>
    <s v="Partner"/>
    <s v="No"/>
  </r>
  <r>
    <n v="7"/>
    <n v="3019"/>
    <n v="33"/>
    <x v="4"/>
    <x v="0"/>
    <x v="1"/>
    <x v="0"/>
    <s v="Lunch"/>
    <s v="Budget"/>
    <n v="565"/>
    <s v="No"/>
    <n v="28"/>
    <n v="1"/>
    <n v="4"/>
    <s v="Yes"/>
    <x v="3"/>
    <s v="Low"/>
    <s v="Alone"/>
    <s v="No"/>
  </r>
  <r>
    <n v="8"/>
    <n v="1505"/>
    <n v="24"/>
    <x v="1"/>
    <x v="0"/>
    <x v="1"/>
    <x v="3"/>
    <s v="Lunch"/>
    <s v="Budget"/>
    <n v="598"/>
    <s v="Yes"/>
    <n v="51"/>
    <n v="10"/>
    <n v="2"/>
    <s v="Yes"/>
    <x v="2"/>
    <s v="Medium"/>
    <s v="Partner"/>
    <s v="Yes"/>
  </r>
  <r>
    <n v="9"/>
    <n v="3157"/>
    <n v="37"/>
    <x v="1"/>
    <x v="1"/>
    <x v="0"/>
    <x v="4"/>
    <s v="Breakfast"/>
    <s v="Mid-range"/>
    <n v="469"/>
    <s v="No"/>
    <n v="29"/>
    <n v="8"/>
    <n v="3"/>
    <s v="Yes"/>
    <x v="0"/>
    <s v="Medium"/>
    <s v="Friends"/>
    <s v="No"/>
  </r>
  <r>
    <n v="10"/>
    <n v="1704"/>
    <n v="21"/>
    <x v="0"/>
    <x v="3"/>
    <x v="1"/>
    <x v="2"/>
    <s v="Dinner"/>
    <s v="Mid-range"/>
    <n v="549"/>
    <s v="No"/>
    <n v="51"/>
    <n v="6"/>
    <n v="2"/>
    <s v="Yes"/>
    <x v="1"/>
    <s v="Medium"/>
    <s v="Alone"/>
    <s v="Yes"/>
  </r>
  <r>
    <n v="11"/>
    <n v="3729"/>
    <n v="27"/>
    <x v="1"/>
    <x v="2"/>
    <x v="0"/>
    <x v="5"/>
    <s v="Snacks"/>
    <s v="Premium"/>
    <n v="857"/>
    <s v="Yes"/>
    <n v="34"/>
    <n v="10"/>
    <n v="1"/>
    <s v="Yes"/>
    <x v="1"/>
    <s v="Medium"/>
    <s v="Family"/>
    <s v="Yes"/>
  </r>
  <r>
    <n v="12"/>
    <n v="1058"/>
    <n v="23"/>
    <x v="4"/>
    <x v="0"/>
    <x v="0"/>
    <x v="5"/>
    <s v="Snacks"/>
    <s v="Budget"/>
    <n v="982"/>
    <s v="Yes"/>
    <n v="60"/>
    <n v="6"/>
    <n v="5"/>
    <s v="Yes"/>
    <x v="2"/>
    <s v="High"/>
    <s v="Alone"/>
    <s v="No"/>
  </r>
  <r>
    <n v="13"/>
    <n v="2432"/>
    <n v="25"/>
    <x v="1"/>
    <x v="3"/>
    <x v="1"/>
    <x v="2"/>
    <s v="Breakfast"/>
    <s v="Premium"/>
    <n v="319"/>
    <s v="Yes"/>
    <n v="20"/>
    <n v="11"/>
    <n v="3"/>
    <s v="Yes"/>
    <x v="3"/>
    <s v="High"/>
    <s v="Partner"/>
    <s v="Yes"/>
  </r>
  <r>
    <n v="14"/>
    <n v="1428"/>
    <n v="37"/>
    <x v="3"/>
    <x v="1"/>
    <x v="1"/>
    <x v="4"/>
    <s v="Lunch"/>
    <s v="Mid-range"/>
    <n v="439"/>
    <s v="No"/>
    <n v="62"/>
    <n v="7"/>
    <n v="3"/>
    <s v="Yes"/>
    <x v="1"/>
    <s v="Low"/>
    <s v="Partner"/>
    <s v="Yes"/>
  </r>
  <r>
    <n v="15"/>
    <n v="2465"/>
    <n v="30"/>
    <x v="5"/>
    <x v="2"/>
    <x v="1"/>
    <x v="2"/>
    <s v="Dinner"/>
    <s v="Budget"/>
    <n v="470"/>
    <s v="Yes"/>
    <n v="42"/>
    <n v="5"/>
    <n v="5"/>
    <s v="Yes"/>
    <x v="2"/>
    <s v="High"/>
    <s v="Family"/>
    <s v="Yes"/>
  </r>
  <r>
    <n v="16"/>
    <n v="2060"/>
    <n v="34"/>
    <x v="3"/>
    <x v="3"/>
    <x v="0"/>
    <x v="1"/>
    <s v="Dinner"/>
    <s v="Premium"/>
    <n v="465"/>
    <s v="No"/>
    <n v="20"/>
    <n v="12"/>
    <n v="4"/>
    <s v="Yes"/>
    <x v="2"/>
    <s v="High"/>
    <s v="Friends"/>
    <s v="No"/>
  </r>
  <r>
    <n v="17"/>
    <n v="3892"/>
    <n v="29"/>
    <x v="3"/>
    <x v="1"/>
    <x v="0"/>
    <x v="3"/>
    <s v="Dinner"/>
    <s v="Premium"/>
    <n v="644"/>
    <s v="Yes"/>
    <n v="62"/>
    <n v="14"/>
    <n v="1"/>
    <s v="No"/>
    <x v="1"/>
    <s v="Low"/>
    <s v="Friends"/>
    <s v="No"/>
  </r>
  <r>
    <n v="18"/>
    <n v="4600"/>
    <n v="31"/>
    <x v="4"/>
    <x v="0"/>
    <x v="0"/>
    <x v="1"/>
    <s v="Snacks"/>
    <s v="Premium"/>
    <n v="310"/>
    <s v="Yes"/>
    <n v="29"/>
    <n v="12"/>
    <n v="2"/>
    <s v="Yes"/>
    <x v="3"/>
    <s v="Low"/>
    <s v="Partner"/>
    <s v="Yes"/>
  </r>
  <r>
    <n v="19"/>
    <n v="1747"/>
    <n v="20"/>
    <x v="1"/>
    <x v="1"/>
    <x v="1"/>
    <x v="5"/>
    <s v="Breakfast"/>
    <s v="Budget"/>
    <n v="547"/>
    <s v="No"/>
    <n v="87"/>
    <n v="10"/>
    <n v="5"/>
    <s v="Yes"/>
    <x v="1"/>
    <s v="Low"/>
    <s v="Family"/>
    <s v="Yes"/>
  </r>
  <r>
    <n v="20"/>
    <n v="1619"/>
    <n v="36"/>
    <x v="1"/>
    <x v="3"/>
    <x v="0"/>
    <x v="5"/>
    <s v="Dinner"/>
    <s v="Mid-range"/>
    <n v="117"/>
    <s v="Yes"/>
    <n v="62"/>
    <n v="13"/>
    <n v="5"/>
    <s v="Yes"/>
    <x v="2"/>
    <s v="Low"/>
    <s v="Partner"/>
    <s v="Yes"/>
  </r>
  <r>
    <n v="21"/>
    <n v="4797"/>
    <n v="42"/>
    <x v="2"/>
    <x v="0"/>
    <x v="1"/>
    <x v="3"/>
    <s v="Breakfast"/>
    <s v="Premium"/>
    <n v="832"/>
    <s v="Yes"/>
    <n v="68"/>
    <n v="10"/>
    <n v="4"/>
    <s v="No"/>
    <x v="3"/>
    <s v="High"/>
    <s v="Partner"/>
    <s v="Yes"/>
  </r>
  <r>
    <n v="22"/>
    <n v="2030"/>
    <n v="36"/>
    <x v="1"/>
    <x v="2"/>
    <x v="0"/>
    <x v="0"/>
    <s v="Snacks"/>
    <s v="Budget"/>
    <n v="641"/>
    <s v="Yes"/>
    <n v="55"/>
    <n v="1"/>
    <n v="5"/>
    <s v="Yes"/>
    <x v="1"/>
    <s v="Low"/>
    <s v="Alone"/>
    <s v="No"/>
  </r>
  <r>
    <n v="23"/>
    <n v="3537"/>
    <n v="27"/>
    <x v="0"/>
    <x v="0"/>
    <x v="0"/>
    <x v="1"/>
    <s v="Snacks"/>
    <s v="Mid-range"/>
    <n v="100"/>
    <s v="Yes"/>
    <n v="44"/>
    <n v="13"/>
    <n v="4"/>
    <s v="Yes"/>
    <x v="0"/>
    <s v="Low"/>
    <s v="Partner"/>
    <s v="Yes"/>
  </r>
  <r>
    <n v="24"/>
    <n v="3026"/>
    <n v="38"/>
    <x v="4"/>
    <x v="0"/>
    <x v="1"/>
    <x v="2"/>
    <s v="Breakfast"/>
    <s v="Mid-range"/>
    <n v="704"/>
    <s v="Yes"/>
    <n v="31"/>
    <n v="1"/>
    <n v="4"/>
    <s v="No"/>
    <x v="0"/>
    <s v="Medium"/>
    <s v="Partner"/>
    <s v="No"/>
  </r>
  <r>
    <n v="25"/>
    <n v="1542"/>
    <n v="44"/>
    <x v="1"/>
    <x v="0"/>
    <x v="1"/>
    <x v="3"/>
    <s v="Breakfast"/>
    <s v="Mid-range"/>
    <n v="591"/>
    <s v="Yes"/>
    <n v="79"/>
    <n v="5"/>
    <n v="5"/>
    <s v="Yes"/>
    <x v="1"/>
    <s v="Low"/>
    <s v="Friends"/>
    <s v="No"/>
  </r>
  <r>
    <n v="26"/>
    <n v="1501"/>
    <n v="20"/>
    <x v="3"/>
    <x v="0"/>
    <x v="0"/>
    <x v="1"/>
    <s v="Breakfast"/>
    <s v="Mid-range"/>
    <n v="607"/>
    <s v="No"/>
    <n v="26"/>
    <n v="13"/>
    <n v="3"/>
    <s v="No"/>
    <x v="1"/>
    <s v="Low"/>
    <s v="Family"/>
    <s v="Yes"/>
  </r>
  <r>
    <n v="27"/>
    <n v="2684"/>
    <n v="27"/>
    <x v="1"/>
    <x v="2"/>
    <x v="1"/>
    <x v="0"/>
    <s v="Breakfast"/>
    <s v="Premium"/>
    <n v="498"/>
    <s v="No"/>
    <n v="98"/>
    <n v="2"/>
    <n v="4"/>
    <s v="No"/>
    <x v="1"/>
    <s v="Low"/>
    <s v="Alone"/>
    <s v="Yes"/>
  </r>
  <r>
    <n v="28"/>
    <n v="4203"/>
    <n v="25"/>
    <x v="0"/>
    <x v="3"/>
    <x v="0"/>
    <x v="0"/>
    <s v="Lunch"/>
    <s v="Mid-range"/>
    <n v="777"/>
    <s v="No"/>
    <n v="20"/>
    <n v="1"/>
    <n v="2"/>
    <s v="No"/>
    <x v="0"/>
    <s v="High"/>
    <s v="Alone"/>
    <s v="No"/>
  </r>
  <r>
    <n v="29"/>
    <n v="3245"/>
    <n v="28"/>
    <x v="2"/>
    <x v="0"/>
    <x v="0"/>
    <x v="0"/>
    <s v="Breakfast"/>
    <s v="Mid-range"/>
    <n v="427"/>
    <s v="No"/>
    <n v="31"/>
    <n v="7"/>
    <n v="3"/>
    <s v="No"/>
    <x v="0"/>
    <s v="Medium"/>
    <s v="Family"/>
    <s v="No"/>
  </r>
  <r>
    <n v="30"/>
    <n v="2329"/>
    <n v="27"/>
    <x v="4"/>
    <x v="1"/>
    <x v="0"/>
    <x v="5"/>
    <s v="Snacks"/>
    <s v="Mid-range"/>
    <n v="241"/>
    <s v="No"/>
    <n v="55"/>
    <n v="12"/>
    <n v="1"/>
    <s v="Yes"/>
    <x v="1"/>
    <s v="Medium"/>
    <s v="Partner"/>
    <s v="No"/>
  </r>
  <r>
    <n v="31"/>
    <n v="4832"/>
    <n v="42"/>
    <x v="1"/>
    <x v="3"/>
    <x v="1"/>
    <x v="2"/>
    <s v="Snacks"/>
    <s v="Premium"/>
    <n v="844"/>
    <s v="No"/>
    <n v="78"/>
    <n v="9"/>
    <n v="5"/>
    <s v="No"/>
    <x v="1"/>
    <s v="Medium"/>
    <s v="Partner"/>
    <s v="No"/>
  </r>
  <r>
    <n v="32"/>
    <n v="3450"/>
    <n v="44"/>
    <x v="4"/>
    <x v="1"/>
    <x v="1"/>
    <x v="1"/>
    <s v="Dinner"/>
    <s v="Budget"/>
    <n v="141"/>
    <s v="Yes"/>
    <n v="36"/>
    <n v="10"/>
    <n v="1"/>
    <s v="Yes"/>
    <x v="0"/>
    <s v="High"/>
    <s v="Family"/>
    <s v="No"/>
  </r>
  <r>
    <n v="33"/>
    <n v="1575"/>
    <n v="18"/>
    <x v="4"/>
    <x v="1"/>
    <x v="0"/>
    <x v="3"/>
    <s v="Snacks"/>
    <s v="Premium"/>
    <n v="476"/>
    <s v="No"/>
    <n v="99"/>
    <n v="3"/>
    <n v="1"/>
    <s v="Yes"/>
    <x v="0"/>
    <s v="High"/>
    <s v="Partner"/>
    <s v="Yes"/>
  </r>
  <r>
    <n v="34"/>
    <n v="4000"/>
    <n v="30"/>
    <x v="4"/>
    <x v="3"/>
    <x v="1"/>
    <x v="4"/>
    <s v="Dinner"/>
    <s v="Budget"/>
    <n v="690"/>
    <s v="Yes"/>
    <n v="24"/>
    <n v="13"/>
    <n v="4"/>
    <s v="No"/>
    <x v="3"/>
    <s v="Low"/>
    <s v="Friends"/>
    <s v="No"/>
  </r>
  <r>
    <n v="35"/>
    <n v="4046"/>
    <n v="28"/>
    <x v="2"/>
    <x v="1"/>
    <x v="0"/>
    <x v="5"/>
    <s v="Lunch"/>
    <s v="Mid-range"/>
    <n v="187"/>
    <s v="Yes"/>
    <n v="99"/>
    <n v="3"/>
    <n v="4"/>
    <s v="Yes"/>
    <x v="3"/>
    <s v="Low"/>
    <s v="Partner"/>
    <s v="Yes"/>
  </r>
  <r>
    <n v="36"/>
    <n v="3284"/>
    <n v="26"/>
    <x v="3"/>
    <x v="3"/>
    <x v="1"/>
    <x v="4"/>
    <s v="Lunch"/>
    <s v="Premium"/>
    <n v="478"/>
    <s v="No"/>
    <n v="87"/>
    <n v="6"/>
    <n v="5"/>
    <s v="No"/>
    <x v="2"/>
    <s v="High"/>
    <s v="Family"/>
    <s v="Yes"/>
  </r>
  <r>
    <n v="37"/>
    <n v="1231"/>
    <n v="18"/>
    <x v="3"/>
    <x v="0"/>
    <x v="0"/>
    <x v="3"/>
    <s v="Breakfast"/>
    <s v="Mid-range"/>
    <n v="643"/>
    <s v="Yes"/>
    <n v="68"/>
    <n v="5"/>
    <n v="1"/>
    <s v="Yes"/>
    <x v="3"/>
    <s v="High"/>
    <s v="Family"/>
    <s v="No"/>
  </r>
  <r>
    <n v="38"/>
    <n v="4018"/>
    <n v="32"/>
    <x v="2"/>
    <x v="3"/>
    <x v="0"/>
    <x v="4"/>
    <s v="Breakfast"/>
    <s v="Premium"/>
    <n v="838"/>
    <s v="No"/>
    <n v="73"/>
    <n v="4"/>
    <n v="3"/>
    <s v="Yes"/>
    <x v="1"/>
    <s v="High"/>
    <s v="Partner"/>
    <s v="No"/>
  </r>
  <r>
    <n v="39"/>
    <n v="1729"/>
    <n v="34"/>
    <x v="0"/>
    <x v="0"/>
    <x v="0"/>
    <x v="5"/>
    <s v="Snacks"/>
    <s v="Mid-range"/>
    <n v="297"/>
    <s v="No"/>
    <n v="62"/>
    <n v="13"/>
    <n v="4"/>
    <s v="No"/>
    <x v="0"/>
    <s v="Low"/>
    <s v="Alone"/>
    <s v="Yes"/>
  </r>
  <r>
    <n v="40"/>
    <n v="3433"/>
    <n v="42"/>
    <x v="4"/>
    <x v="3"/>
    <x v="0"/>
    <x v="2"/>
    <s v="Breakfast"/>
    <s v="Mid-range"/>
    <n v="365"/>
    <s v="No"/>
    <n v="20"/>
    <n v="8"/>
    <n v="1"/>
    <s v="No"/>
    <x v="3"/>
    <s v="High"/>
    <s v="Family"/>
    <s v="Yes"/>
  </r>
  <r>
    <n v="41"/>
    <n v="1391"/>
    <n v="30"/>
    <x v="1"/>
    <x v="0"/>
    <x v="1"/>
    <x v="0"/>
    <s v="Dinner"/>
    <s v="Budget"/>
    <n v="700"/>
    <s v="No"/>
    <n v="54"/>
    <n v="2"/>
    <n v="4"/>
    <s v="No"/>
    <x v="1"/>
    <s v="Low"/>
    <s v="Family"/>
    <s v="Yes"/>
  </r>
  <r>
    <n v="42"/>
    <n v="4908"/>
    <n v="36"/>
    <x v="2"/>
    <x v="0"/>
    <x v="1"/>
    <x v="2"/>
    <s v="Dinner"/>
    <s v="Budget"/>
    <n v="653"/>
    <s v="Yes"/>
    <n v="82"/>
    <n v="10"/>
    <n v="4"/>
    <s v="Yes"/>
    <x v="1"/>
    <s v="Low"/>
    <s v="Alone"/>
    <s v="No"/>
  </r>
  <r>
    <n v="43"/>
    <n v="1809"/>
    <n v="19"/>
    <x v="0"/>
    <x v="1"/>
    <x v="0"/>
    <x v="1"/>
    <s v="Snacks"/>
    <s v="Premium"/>
    <n v="959"/>
    <s v="Yes"/>
    <n v="56"/>
    <n v="7"/>
    <n v="2"/>
    <s v="No"/>
    <x v="0"/>
    <s v="High"/>
    <s v="Friends"/>
    <s v="Yes"/>
  </r>
  <r>
    <n v="44"/>
    <n v="3344"/>
    <n v="25"/>
    <x v="5"/>
    <x v="0"/>
    <x v="0"/>
    <x v="5"/>
    <s v="Snacks"/>
    <s v="Premium"/>
    <n v="364"/>
    <s v="Yes"/>
    <n v="47"/>
    <n v="2"/>
    <n v="4"/>
    <s v="Yes"/>
    <x v="2"/>
    <s v="High"/>
    <s v="Family"/>
    <s v="Yes"/>
  </r>
  <r>
    <n v="45"/>
    <n v="4687"/>
    <n v="23"/>
    <x v="4"/>
    <x v="3"/>
    <x v="0"/>
    <x v="5"/>
    <s v="Snacks"/>
    <s v="Mid-range"/>
    <n v="355"/>
    <s v="No"/>
    <n v="39"/>
    <n v="12"/>
    <n v="5"/>
    <s v="Yes"/>
    <x v="2"/>
    <s v="Medium"/>
    <s v="Family"/>
    <s v="Yes"/>
  </r>
  <r>
    <n v="46"/>
    <n v="2454"/>
    <n v="38"/>
    <x v="0"/>
    <x v="0"/>
    <x v="0"/>
    <x v="1"/>
    <s v="Dinner"/>
    <s v="Budget"/>
    <n v="807"/>
    <s v="Yes"/>
    <n v="37"/>
    <n v="9"/>
    <n v="1"/>
    <s v="No"/>
    <x v="1"/>
    <s v="Low"/>
    <s v="Friends"/>
    <s v="No"/>
  </r>
  <r>
    <n v="47"/>
    <n v="3011"/>
    <n v="19"/>
    <x v="4"/>
    <x v="2"/>
    <x v="1"/>
    <x v="4"/>
    <s v="Dinner"/>
    <s v="Budget"/>
    <n v="149"/>
    <s v="Yes"/>
    <n v="62"/>
    <n v="5"/>
    <n v="5"/>
    <s v="No"/>
    <x v="1"/>
    <s v="High"/>
    <s v="Family"/>
    <s v="Yes"/>
  </r>
  <r>
    <n v="48"/>
    <n v="2967"/>
    <n v="33"/>
    <x v="0"/>
    <x v="2"/>
    <x v="0"/>
    <x v="1"/>
    <s v="Snacks"/>
    <s v="Mid-range"/>
    <n v="888"/>
    <s v="No"/>
    <n v="46"/>
    <n v="6"/>
    <n v="2"/>
    <s v="No"/>
    <x v="3"/>
    <s v="High"/>
    <s v="Family"/>
    <s v="No"/>
  </r>
  <r>
    <n v="49"/>
    <n v="2905"/>
    <n v="39"/>
    <x v="0"/>
    <x v="2"/>
    <x v="1"/>
    <x v="0"/>
    <s v="Snacks"/>
    <s v="Budget"/>
    <n v="937"/>
    <s v="Yes"/>
    <n v="83"/>
    <n v="8"/>
    <n v="3"/>
    <s v="Yes"/>
    <x v="3"/>
    <s v="High"/>
    <s v="Alone"/>
    <s v="No"/>
  </r>
  <r>
    <n v="50"/>
    <n v="4030"/>
    <n v="23"/>
    <x v="3"/>
    <x v="0"/>
    <x v="1"/>
    <x v="1"/>
    <s v="Lunch"/>
    <s v="Mid-range"/>
    <n v="272"/>
    <s v="Yes"/>
    <n v="41"/>
    <n v="13"/>
    <n v="2"/>
    <s v="No"/>
    <x v="2"/>
    <s v="Medium"/>
    <s v="Friends"/>
    <s v="Yes"/>
  </r>
  <r>
    <n v="51"/>
    <n v="2863"/>
    <n v="32"/>
    <x v="3"/>
    <x v="3"/>
    <x v="0"/>
    <x v="5"/>
    <s v="Dinner"/>
    <s v="Mid-range"/>
    <n v="193"/>
    <s v="Yes"/>
    <n v="50"/>
    <n v="5"/>
    <n v="2"/>
    <s v="Yes"/>
    <x v="2"/>
    <s v="Medium"/>
    <s v="Partner"/>
    <s v="No"/>
  </r>
  <r>
    <n v="52"/>
    <n v="3874"/>
    <n v="43"/>
    <x v="2"/>
    <x v="0"/>
    <x v="1"/>
    <x v="3"/>
    <s v="Breakfast"/>
    <s v="Budget"/>
    <n v="943"/>
    <s v="No"/>
    <n v="24"/>
    <n v="7"/>
    <n v="1"/>
    <s v="Yes"/>
    <x v="0"/>
    <s v="Low"/>
    <s v="Partner"/>
    <s v="No"/>
  </r>
  <r>
    <n v="53"/>
    <n v="4559"/>
    <n v="30"/>
    <x v="4"/>
    <x v="1"/>
    <x v="0"/>
    <x v="4"/>
    <s v="Dinner"/>
    <s v="Budget"/>
    <n v="479"/>
    <s v="Yes"/>
    <n v="82"/>
    <n v="2"/>
    <n v="2"/>
    <s v="No"/>
    <x v="1"/>
    <s v="Medium"/>
    <s v="Alone"/>
    <s v="No"/>
  </r>
  <r>
    <n v="54"/>
    <n v="4142"/>
    <n v="24"/>
    <x v="0"/>
    <x v="3"/>
    <x v="1"/>
    <x v="3"/>
    <s v="Dinner"/>
    <s v="Mid-range"/>
    <n v="514"/>
    <s v="Yes"/>
    <n v="96"/>
    <n v="7"/>
    <n v="3"/>
    <s v="No"/>
    <x v="0"/>
    <s v="Low"/>
    <s v="Family"/>
    <s v="No"/>
  </r>
  <r>
    <n v="55"/>
    <n v="4378"/>
    <n v="19"/>
    <x v="4"/>
    <x v="1"/>
    <x v="0"/>
    <x v="3"/>
    <s v="Lunch"/>
    <s v="Premium"/>
    <n v="578"/>
    <s v="Yes"/>
    <n v="95"/>
    <n v="10"/>
    <n v="4"/>
    <s v="Yes"/>
    <x v="1"/>
    <s v="Low"/>
    <s v="Alone"/>
    <s v="No"/>
  </r>
  <r>
    <n v="56"/>
    <n v="4163"/>
    <n v="26"/>
    <x v="3"/>
    <x v="3"/>
    <x v="0"/>
    <x v="2"/>
    <s v="Breakfast"/>
    <s v="Budget"/>
    <n v="164"/>
    <s v="Yes"/>
    <n v="90"/>
    <n v="7"/>
    <n v="4"/>
    <s v="No"/>
    <x v="3"/>
    <s v="Low"/>
    <s v="Alone"/>
    <s v="Yes"/>
  </r>
  <r>
    <n v="57"/>
    <n v="4277"/>
    <n v="21"/>
    <x v="4"/>
    <x v="3"/>
    <x v="0"/>
    <x v="2"/>
    <s v="Snacks"/>
    <s v="Premium"/>
    <n v="490"/>
    <s v="No"/>
    <n v="42"/>
    <n v="7"/>
    <n v="5"/>
    <s v="Yes"/>
    <x v="3"/>
    <s v="Medium"/>
    <s v="Alone"/>
    <s v="No"/>
  </r>
  <r>
    <n v="58"/>
    <n v="3725"/>
    <n v="36"/>
    <x v="3"/>
    <x v="2"/>
    <x v="0"/>
    <x v="4"/>
    <s v="Breakfast"/>
    <s v="Premium"/>
    <n v="401"/>
    <s v="Yes"/>
    <n v="37"/>
    <n v="3"/>
    <n v="1"/>
    <s v="Yes"/>
    <x v="0"/>
    <s v="Low"/>
    <s v="Partner"/>
    <s v="No"/>
  </r>
  <r>
    <n v="59"/>
    <n v="3301"/>
    <n v="35"/>
    <x v="4"/>
    <x v="1"/>
    <x v="0"/>
    <x v="3"/>
    <s v="Dinner"/>
    <s v="Budget"/>
    <n v="314"/>
    <s v="Yes"/>
    <n v="28"/>
    <n v="5"/>
    <n v="1"/>
    <s v="Yes"/>
    <x v="1"/>
    <s v="High"/>
    <s v="Alone"/>
    <s v="No"/>
  </r>
  <r>
    <n v="60"/>
    <n v="2808"/>
    <n v="33"/>
    <x v="1"/>
    <x v="2"/>
    <x v="0"/>
    <x v="1"/>
    <s v="Lunch"/>
    <s v="Premium"/>
    <n v="240"/>
    <s v="No"/>
    <n v="85"/>
    <n v="5"/>
    <n v="2"/>
    <s v="No"/>
    <x v="1"/>
    <s v="Medium"/>
    <s v="Family"/>
    <s v="No"/>
  </r>
  <r>
    <n v="61"/>
    <n v="1436"/>
    <n v="30"/>
    <x v="5"/>
    <x v="2"/>
    <x v="0"/>
    <x v="0"/>
    <s v="Lunch"/>
    <s v="Budget"/>
    <n v="368"/>
    <s v="Yes"/>
    <n v="31"/>
    <n v="8"/>
    <n v="3"/>
    <s v="No"/>
    <x v="2"/>
    <s v="Medium"/>
    <s v="Friends"/>
    <s v="Yes"/>
  </r>
  <r>
    <n v="62"/>
    <n v="4586"/>
    <n v="39"/>
    <x v="2"/>
    <x v="3"/>
    <x v="0"/>
    <x v="5"/>
    <s v="Breakfast"/>
    <s v="Mid-range"/>
    <n v="799"/>
    <s v="Yes"/>
    <n v="28"/>
    <n v="5"/>
    <n v="1"/>
    <s v="No"/>
    <x v="1"/>
    <s v="High"/>
    <s v="Family"/>
    <s v="Yes"/>
  </r>
  <r>
    <n v="63"/>
    <n v="1517"/>
    <n v="22"/>
    <x v="3"/>
    <x v="2"/>
    <x v="1"/>
    <x v="1"/>
    <s v="Lunch"/>
    <s v="Mid-range"/>
    <n v="708"/>
    <s v="Yes"/>
    <n v="22"/>
    <n v="8"/>
    <n v="5"/>
    <s v="No"/>
    <x v="0"/>
    <s v="Low"/>
    <s v="Partner"/>
    <s v="Yes"/>
  </r>
  <r>
    <n v="64"/>
    <n v="1117"/>
    <n v="18"/>
    <x v="0"/>
    <x v="3"/>
    <x v="0"/>
    <x v="5"/>
    <s v="Dinner"/>
    <s v="Budget"/>
    <n v="757"/>
    <s v="No"/>
    <n v="91"/>
    <n v="2"/>
    <n v="1"/>
    <s v="Yes"/>
    <x v="2"/>
    <s v="High"/>
    <s v="Friends"/>
    <s v="No"/>
  </r>
  <r>
    <n v="65"/>
    <n v="1562"/>
    <n v="24"/>
    <x v="2"/>
    <x v="1"/>
    <x v="0"/>
    <x v="0"/>
    <s v="Snacks"/>
    <s v="Mid-range"/>
    <n v="266"/>
    <s v="Yes"/>
    <n v="44"/>
    <n v="8"/>
    <n v="3"/>
    <s v="Yes"/>
    <x v="2"/>
    <s v="Low"/>
    <s v="Friends"/>
    <s v="No"/>
  </r>
  <r>
    <n v="66"/>
    <n v="3387"/>
    <n v="40"/>
    <x v="2"/>
    <x v="2"/>
    <x v="0"/>
    <x v="5"/>
    <s v="Dinner"/>
    <s v="Budget"/>
    <n v="422"/>
    <s v="No"/>
    <n v="87"/>
    <n v="8"/>
    <n v="1"/>
    <s v="No"/>
    <x v="3"/>
    <s v="Medium"/>
    <s v="Friends"/>
    <s v="No"/>
  </r>
  <r>
    <n v="67"/>
    <n v="2538"/>
    <n v="41"/>
    <x v="0"/>
    <x v="3"/>
    <x v="0"/>
    <x v="0"/>
    <s v="Snacks"/>
    <s v="Mid-range"/>
    <n v="127"/>
    <s v="Yes"/>
    <n v="61"/>
    <n v="2"/>
    <n v="1"/>
    <s v="No"/>
    <x v="2"/>
    <s v="High"/>
    <s v="Family"/>
    <s v="Yes"/>
  </r>
  <r>
    <n v="68"/>
    <n v="3702"/>
    <n v="44"/>
    <x v="0"/>
    <x v="0"/>
    <x v="0"/>
    <x v="2"/>
    <s v="Dinner"/>
    <s v="Mid-range"/>
    <n v="241"/>
    <s v="No"/>
    <n v="26"/>
    <n v="14"/>
    <n v="4"/>
    <s v="Yes"/>
    <x v="0"/>
    <s v="High"/>
    <s v="Alone"/>
    <s v="Yes"/>
  </r>
  <r>
    <n v="69"/>
    <n v="1854"/>
    <n v="24"/>
    <x v="5"/>
    <x v="2"/>
    <x v="0"/>
    <x v="1"/>
    <s v="Dinner"/>
    <s v="Premium"/>
    <n v="863"/>
    <s v="Yes"/>
    <n v="85"/>
    <n v="1"/>
    <n v="1"/>
    <s v="No"/>
    <x v="0"/>
    <s v="Low"/>
    <s v="Alone"/>
    <s v="No"/>
  </r>
  <r>
    <n v="70"/>
    <n v="2886"/>
    <n v="44"/>
    <x v="1"/>
    <x v="3"/>
    <x v="0"/>
    <x v="5"/>
    <s v="Dinner"/>
    <s v="Budget"/>
    <n v="778"/>
    <s v="Yes"/>
    <n v="60"/>
    <n v="9"/>
    <n v="4"/>
    <s v="No"/>
    <x v="1"/>
    <s v="Medium"/>
    <s v="Friends"/>
    <s v="No"/>
  </r>
  <r>
    <n v="71"/>
    <n v="4823"/>
    <n v="20"/>
    <x v="5"/>
    <x v="1"/>
    <x v="1"/>
    <x v="1"/>
    <s v="Dinner"/>
    <s v="Budget"/>
    <n v="196"/>
    <s v="Yes"/>
    <n v="37"/>
    <n v="3"/>
    <n v="1"/>
    <s v="Yes"/>
    <x v="3"/>
    <s v="Low"/>
    <s v="Family"/>
    <s v="Yes"/>
  </r>
  <r>
    <n v="72"/>
    <n v="3912"/>
    <n v="28"/>
    <x v="2"/>
    <x v="2"/>
    <x v="1"/>
    <x v="0"/>
    <s v="Snacks"/>
    <s v="Premium"/>
    <n v="174"/>
    <s v="No"/>
    <n v="53"/>
    <n v="9"/>
    <n v="2"/>
    <s v="No"/>
    <x v="0"/>
    <s v="High"/>
    <s v="Family"/>
    <s v="Yes"/>
  </r>
  <r>
    <n v="73"/>
    <n v="1731"/>
    <n v="30"/>
    <x v="1"/>
    <x v="0"/>
    <x v="1"/>
    <x v="0"/>
    <s v="Breakfast"/>
    <s v="Premium"/>
    <n v="558"/>
    <s v="Yes"/>
    <n v="55"/>
    <n v="13"/>
    <n v="4"/>
    <s v="No"/>
    <x v="0"/>
    <s v="High"/>
    <s v="Partner"/>
    <s v="No"/>
  </r>
  <r>
    <n v="74"/>
    <n v="1514"/>
    <n v="20"/>
    <x v="0"/>
    <x v="1"/>
    <x v="0"/>
    <x v="4"/>
    <s v="Snacks"/>
    <s v="Premium"/>
    <n v="706"/>
    <s v="Yes"/>
    <n v="29"/>
    <n v="8"/>
    <n v="4"/>
    <s v="No"/>
    <x v="1"/>
    <s v="Medium"/>
    <s v="Family"/>
    <s v="No"/>
  </r>
  <r>
    <n v="75"/>
    <n v="1605"/>
    <n v="41"/>
    <x v="2"/>
    <x v="3"/>
    <x v="0"/>
    <x v="5"/>
    <s v="Lunch"/>
    <s v="Mid-range"/>
    <n v="439"/>
    <s v="Yes"/>
    <n v="35"/>
    <n v="14"/>
    <n v="1"/>
    <s v="No"/>
    <x v="2"/>
    <s v="Low"/>
    <s v="Partner"/>
    <s v="No"/>
  </r>
  <r>
    <n v="76"/>
    <n v="1622"/>
    <n v="32"/>
    <x v="1"/>
    <x v="1"/>
    <x v="1"/>
    <x v="5"/>
    <s v="Dinner"/>
    <s v="Budget"/>
    <n v="239"/>
    <s v="Yes"/>
    <n v="91"/>
    <n v="3"/>
    <n v="2"/>
    <s v="Yes"/>
    <x v="2"/>
    <s v="Medium"/>
    <s v="Alone"/>
    <s v="No"/>
  </r>
  <r>
    <n v="77"/>
    <n v="2224"/>
    <n v="22"/>
    <x v="3"/>
    <x v="1"/>
    <x v="1"/>
    <x v="5"/>
    <s v="Dinner"/>
    <s v="Premium"/>
    <n v="401"/>
    <s v="Yes"/>
    <n v="54"/>
    <n v="13"/>
    <n v="4"/>
    <s v="Yes"/>
    <x v="0"/>
    <s v="Low"/>
    <s v="Alone"/>
    <s v="No"/>
  </r>
  <r>
    <n v="78"/>
    <n v="4268"/>
    <n v="25"/>
    <x v="4"/>
    <x v="0"/>
    <x v="0"/>
    <x v="5"/>
    <s v="Lunch"/>
    <s v="Mid-range"/>
    <n v="844"/>
    <s v="No"/>
    <n v="31"/>
    <n v="5"/>
    <n v="1"/>
    <s v="Yes"/>
    <x v="3"/>
    <s v="Low"/>
    <s v="Friends"/>
    <s v="Yes"/>
  </r>
  <r>
    <n v="79"/>
    <n v="2239"/>
    <n v="36"/>
    <x v="4"/>
    <x v="1"/>
    <x v="0"/>
    <x v="3"/>
    <s v="Snacks"/>
    <s v="Mid-range"/>
    <n v="489"/>
    <s v="No"/>
    <n v="76"/>
    <n v="8"/>
    <n v="4"/>
    <s v="Yes"/>
    <x v="3"/>
    <s v="Medium"/>
    <s v="Alone"/>
    <s v="Yes"/>
  </r>
  <r>
    <n v="80"/>
    <n v="4750"/>
    <n v="39"/>
    <x v="2"/>
    <x v="0"/>
    <x v="1"/>
    <x v="5"/>
    <s v="Snacks"/>
    <s v="Premium"/>
    <n v="792"/>
    <s v="No"/>
    <n v="27"/>
    <n v="4"/>
    <n v="4"/>
    <s v="No"/>
    <x v="2"/>
    <s v="Medium"/>
    <s v="Alone"/>
    <s v="No"/>
  </r>
  <r>
    <n v="81"/>
    <n v="2660"/>
    <n v="20"/>
    <x v="3"/>
    <x v="3"/>
    <x v="0"/>
    <x v="1"/>
    <s v="Breakfast"/>
    <s v="Mid-range"/>
    <n v="260"/>
    <s v="No"/>
    <n v="76"/>
    <n v="5"/>
    <n v="4"/>
    <s v="Yes"/>
    <x v="3"/>
    <s v="High"/>
    <s v="Partner"/>
    <s v="No"/>
  </r>
  <r>
    <n v="82"/>
    <n v="4644"/>
    <n v="22"/>
    <x v="4"/>
    <x v="3"/>
    <x v="1"/>
    <x v="2"/>
    <s v="Breakfast"/>
    <s v="Premium"/>
    <n v="652"/>
    <s v="Yes"/>
    <n v="95"/>
    <n v="5"/>
    <n v="1"/>
    <s v="Yes"/>
    <x v="0"/>
    <s v="High"/>
    <s v="Family"/>
    <s v="Yes"/>
  </r>
  <r>
    <n v="83"/>
    <n v="2201"/>
    <n v="19"/>
    <x v="3"/>
    <x v="1"/>
    <x v="1"/>
    <x v="5"/>
    <s v="Dinner"/>
    <s v="Premium"/>
    <n v="808"/>
    <s v="No"/>
    <n v="25"/>
    <n v="11"/>
    <n v="5"/>
    <s v="Yes"/>
    <x v="0"/>
    <s v="Low"/>
    <s v="Friends"/>
    <s v="No"/>
  </r>
  <r>
    <n v="84"/>
    <n v="3829"/>
    <n v="36"/>
    <x v="2"/>
    <x v="0"/>
    <x v="1"/>
    <x v="3"/>
    <s v="Snacks"/>
    <s v="Premium"/>
    <n v="349"/>
    <s v="Yes"/>
    <n v="53"/>
    <n v="13"/>
    <n v="1"/>
    <s v="No"/>
    <x v="0"/>
    <s v="High"/>
    <s v="Friends"/>
    <s v="Yes"/>
  </r>
  <r>
    <n v="85"/>
    <n v="3146"/>
    <n v="33"/>
    <x v="3"/>
    <x v="2"/>
    <x v="1"/>
    <x v="1"/>
    <s v="Lunch"/>
    <s v="Budget"/>
    <n v="161"/>
    <s v="Yes"/>
    <n v="49"/>
    <n v="9"/>
    <n v="4"/>
    <s v="No"/>
    <x v="3"/>
    <s v="Medium"/>
    <s v="Alone"/>
    <s v="Yes"/>
  </r>
  <r>
    <n v="86"/>
    <n v="3141"/>
    <n v="26"/>
    <x v="1"/>
    <x v="0"/>
    <x v="0"/>
    <x v="0"/>
    <s v="Dinner"/>
    <s v="Premium"/>
    <n v="753"/>
    <s v="Yes"/>
    <n v="51"/>
    <n v="4"/>
    <n v="5"/>
    <s v="Yes"/>
    <x v="0"/>
    <s v="Medium"/>
    <s v="Friends"/>
    <s v="Yes"/>
  </r>
  <r>
    <n v="87"/>
    <n v="1282"/>
    <n v="30"/>
    <x v="2"/>
    <x v="0"/>
    <x v="1"/>
    <x v="3"/>
    <s v="Dinner"/>
    <s v="Mid-range"/>
    <n v="645"/>
    <s v="Yes"/>
    <n v="93"/>
    <n v="14"/>
    <n v="4"/>
    <s v="No"/>
    <x v="3"/>
    <s v="Low"/>
    <s v="Friends"/>
    <s v="Yes"/>
  </r>
  <r>
    <n v="88"/>
    <n v="4424"/>
    <n v="23"/>
    <x v="3"/>
    <x v="1"/>
    <x v="0"/>
    <x v="2"/>
    <s v="Dinner"/>
    <s v="Premium"/>
    <n v="378"/>
    <s v="Yes"/>
    <n v="24"/>
    <n v="5"/>
    <n v="4"/>
    <s v="No"/>
    <x v="2"/>
    <s v="Medium"/>
    <s v="Friends"/>
    <s v="Yes"/>
  </r>
  <r>
    <n v="89"/>
    <n v="4667"/>
    <n v="33"/>
    <x v="3"/>
    <x v="3"/>
    <x v="1"/>
    <x v="3"/>
    <s v="Dinner"/>
    <s v="Premium"/>
    <n v="238"/>
    <s v="Yes"/>
    <n v="80"/>
    <n v="9"/>
    <n v="3"/>
    <s v="Yes"/>
    <x v="1"/>
    <s v="High"/>
    <s v="Alone"/>
    <s v="Yes"/>
  </r>
  <r>
    <n v="90"/>
    <n v="1422"/>
    <n v="21"/>
    <x v="1"/>
    <x v="3"/>
    <x v="1"/>
    <x v="3"/>
    <s v="Lunch"/>
    <s v="Mid-range"/>
    <n v="941"/>
    <s v="Yes"/>
    <n v="75"/>
    <n v="7"/>
    <n v="2"/>
    <s v="Yes"/>
    <x v="3"/>
    <s v="High"/>
    <s v="Alone"/>
    <s v="Yes"/>
  </r>
  <r>
    <n v="91"/>
    <n v="2156"/>
    <n v="23"/>
    <x v="3"/>
    <x v="2"/>
    <x v="0"/>
    <x v="4"/>
    <s v="Lunch"/>
    <s v="Mid-range"/>
    <n v="893"/>
    <s v="No"/>
    <n v="56"/>
    <n v="3"/>
    <n v="3"/>
    <s v="No"/>
    <x v="1"/>
    <s v="High"/>
    <s v="Friends"/>
    <s v="No"/>
  </r>
  <r>
    <n v="92"/>
    <n v="4642"/>
    <n v="35"/>
    <x v="2"/>
    <x v="3"/>
    <x v="0"/>
    <x v="2"/>
    <s v="Dinner"/>
    <s v="Premium"/>
    <n v="302"/>
    <s v="No"/>
    <n v="68"/>
    <n v="13"/>
    <n v="4"/>
    <s v="No"/>
    <x v="2"/>
    <s v="Medium"/>
    <s v="Partner"/>
    <s v="Yes"/>
  </r>
  <r>
    <n v="93"/>
    <n v="4306"/>
    <n v="41"/>
    <x v="0"/>
    <x v="3"/>
    <x v="0"/>
    <x v="0"/>
    <s v="Snacks"/>
    <s v="Mid-range"/>
    <n v="902"/>
    <s v="No"/>
    <n v="53"/>
    <n v="12"/>
    <n v="2"/>
    <s v="Yes"/>
    <x v="1"/>
    <s v="Medium"/>
    <s v="Friends"/>
    <s v="Yes"/>
  </r>
  <r>
    <n v="94"/>
    <n v="1729"/>
    <n v="40"/>
    <x v="1"/>
    <x v="1"/>
    <x v="0"/>
    <x v="0"/>
    <s v="Snacks"/>
    <s v="Premium"/>
    <n v="765"/>
    <s v="No"/>
    <n v="84"/>
    <n v="9"/>
    <n v="4"/>
    <s v="Yes"/>
    <x v="1"/>
    <s v="Medium"/>
    <s v="Alone"/>
    <s v="No"/>
  </r>
  <r>
    <n v="95"/>
    <n v="4410"/>
    <n v="32"/>
    <x v="1"/>
    <x v="0"/>
    <x v="1"/>
    <x v="0"/>
    <s v="Breakfast"/>
    <s v="Budget"/>
    <n v="193"/>
    <s v="No"/>
    <n v="85"/>
    <n v="6"/>
    <n v="4"/>
    <s v="Yes"/>
    <x v="1"/>
    <s v="Medium"/>
    <s v="Alone"/>
    <s v="Yes"/>
  </r>
  <r>
    <n v="96"/>
    <n v="1385"/>
    <n v="35"/>
    <x v="4"/>
    <x v="3"/>
    <x v="0"/>
    <x v="1"/>
    <s v="Snacks"/>
    <s v="Budget"/>
    <n v="254"/>
    <s v="Yes"/>
    <n v="23"/>
    <n v="9"/>
    <n v="2"/>
    <s v="Yes"/>
    <x v="0"/>
    <s v="Low"/>
    <s v="Alone"/>
    <s v="Yes"/>
  </r>
  <r>
    <n v="97"/>
    <n v="1600"/>
    <n v="25"/>
    <x v="4"/>
    <x v="3"/>
    <x v="1"/>
    <x v="0"/>
    <s v="Lunch"/>
    <s v="Premium"/>
    <n v="345"/>
    <s v="Yes"/>
    <n v="42"/>
    <n v="10"/>
    <n v="3"/>
    <s v="Yes"/>
    <x v="3"/>
    <s v="High"/>
    <s v="Alone"/>
    <s v="Yes"/>
  </r>
  <r>
    <n v="98"/>
    <n v="3870"/>
    <n v="40"/>
    <x v="5"/>
    <x v="1"/>
    <x v="1"/>
    <x v="1"/>
    <s v="Snacks"/>
    <s v="Premium"/>
    <n v="673"/>
    <s v="Yes"/>
    <n v="20"/>
    <n v="11"/>
    <n v="1"/>
    <s v="Yes"/>
    <x v="1"/>
    <s v="Low"/>
    <s v="Family"/>
    <s v="No"/>
  </r>
  <r>
    <n v="99"/>
    <n v="4486"/>
    <n v="19"/>
    <x v="4"/>
    <x v="0"/>
    <x v="0"/>
    <x v="1"/>
    <s v="Lunch"/>
    <s v="Mid-range"/>
    <n v="486"/>
    <s v="No"/>
    <n v="65"/>
    <n v="2"/>
    <n v="1"/>
    <s v="No"/>
    <x v="0"/>
    <s v="Medium"/>
    <s v="Family"/>
    <s v="No"/>
  </r>
  <r>
    <n v="100"/>
    <n v="2903"/>
    <n v="22"/>
    <x v="0"/>
    <x v="3"/>
    <x v="1"/>
    <x v="1"/>
    <s v="Breakfast"/>
    <s v="Premium"/>
    <n v="183"/>
    <s v="Yes"/>
    <n v="99"/>
    <n v="8"/>
    <n v="4"/>
    <s v="No"/>
    <x v="2"/>
    <s v="High"/>
    <s v="Family"/>
    <s v="No"/>
  </r>
  <r>
    <n v="101"/>
    <n v="3236"/>
    <n v="38"/>
    <x v="1"/>
    <x v="0"/>
    <x v="0"/>
    <x v="1"/>
    <s v="Snacks"/>
    <s v="Mid-range"/>
    <n v="375"/>
    <s v="No"/>
    <n v="63"/>
    <n v="11"/>
    <n v="4"/>
    <s v="Yes"/>
    <x v="0"/>
    <s v="High"/>
    <s v="Friends"/>
    <s v="No"/>
  </r>
  <r>
    <n v="102"/>
    <n v="3592"/>
    <n v="39"/>
    <x v="3"/>
    <x v="0"/>
    <x v="0"/>
    <x v="1"/>
    <s v="Dinner"/>
    <s v="Budget"/>
    <n v="405"/>
    <s v="Yes"/>
    <n v="64"/>
    <n v="9"/>
    <n v="2"/>
    <s v="Yes"/>
    <x v="3"/>
    <s v="High"/>
    <s v="Alone"/>
    <s v="No"/>
  </r>
  <r>
    <n v="103"/>
    <n v="1207"/>
    <n v="31"/>
    <x v="0"/>
    <x v="3"/>
    <x v="1"/>
    <x v="0"/>
    <s v="Lunch"/>
    <s v="Budget"/>
    <n v="320"/>
    <s v="Yes"/>
    <n v="74"/>
    <n v="3"/>
    <n v="4"/>
    <s v="Yes"/>
    <x v="0"/>
    <s v="Low"/>
    <s v="Alone"/>
    <s v="No"/>
  </r>
  <r>
    <n v="104"/>
    <n v="2953"/>
    <n v="23"/>
    <x v="2"/>
    <x v="1"/>
    <x v="0"/>
    <x v="3"/>
    <s v="Lunch"/>
    <s v="Premium"/>
    <n v="552"/>
    <s v="No"/>
    <n v="94"/>
    <n v="1"/>
    <n v="5"/>
    <s v="Yes"/>
    <x v="3"/>
    <s v="Low"/>
    <s v="Partner"/>
    <s v="Yes"/>
  </r>
  <r>
    <n v="105"/>
    <n v="1288"/>
    <n v="24"/>
    <x v="1"/>
    <x v="1"/>
    <x v="1"/>
    <x v="0"/>
    <s v="Lunch"/>
    <s v="Premium"/>
    <n v="279"/>
    <s v="Yes"/>
    <n v="28"/>
    <n v="10"/>
    <n v="4"/>
    <s v="No"/>
    <x v="2"/>
    <s v="Low"/>
    <s v="Partner"/>
    <s v="Yes"/>
  </r>
  <r>
    <n v="106"/>
    <n v="3777"/>
    <n v="30"/>
    <x v="2"/>
    <x v="3"/>
    <x v="1"/>
    <x v="1"/>
    <s v="Dinner"/>
    <s v="Budget"/>
    <n v="353"/>
    <s v="Yes"/>
    <n v="70"/>
    <n v="11"/>
    <n v="3"/>
    <s v="Yes"/>
    <x v="0"/>
    <s v="High"/>
    <s v="Partner"/>
    <s v="Yes"/>
  </r>
  <r>
    <n v="107"/>
    <n v="2296"/>
    <n v="19"/>
    <x v="5"/>
    <x v="1"/>
    <x v="0"/>
    <x v="1"/>
    <s v="Lunch"/>
    <s v="Premium"/>
    <n v="308"/>
    <s v="No"/>
    <n v="90"/>
    <n v="12"/>
    <n v="3"/>
    <s v="Yes"/>
    <x v="0"/>
    <s v="Low"/>
    <s v="Friends"/>
    <s v="Yes"/>
  </r>
  <r>
    <n v="108"/>
    <n v="4289"/>
    <n v="39"/>
    <x v="4"/>
    <x v="0"/>
    <x v="0"/>
    <x v="0"/>
    <s v="Snacks"/>
    <s v="Budget"/>
    <n v="477"/>
    <s v="Yes"/>
    <n v="72"/>
    <n v="10"/>
    <n v="2"/>
    <s v="No"/>
    <x v="0"/>
    <s v="Medium"/>
    <s v="Family"/>
    <s v="No"/>
  </r>
  <r>
    <n v="109"/>
    <n v="3052"/>
    <n v="37"/>
    <x v="3"/>
    <x v="0"/>
    <x v="1"/>
    <x v="5"/>
    <s v="Breakfast"/>
    <s v="Mid-range"/>
    <n v="912"/>
    <s v="No"/>
    <n v="48"/>
    <n v="8"/>
    <n v="4"/>
    <s v="Yes"/>
    <x v="3"/>
    <s v="Medium"/>
    <s v="Friends"/>
    <s v="No"/>
  </r>
  <r>
    <n v="110"/>
    <n v="1379"/>
    <n v="38"/>
    <x v="5"/>
    <x v="1"/>
    <x v="0"/>
    <x v="3"/>
    <s v="Dinner"/>
    <s v="Premium"/>
    <n v="604"/>
    <s v="Yes"/>
    <n v="91"/>
    <n v="3"/>
    <n v="2"/>
    <s v="Yes"/>
    <x v="2"/>
    <s v="Medium"/>
    <s v="Alone"/>
    <s v="Yes"/>
  </r>
  <r>
    <n v="111"/>
    <n v="1068"/>
    <n v="41"/>
    <x v="1"/>
    <x v="3"/>
    <x v="1"/>
    <x v="1"/>
    <s v="Lunch"/>
    <s v="Mid-range"/>
    <n v="148"/>
    <s v="Yes"/>
    <n v="56"/>
    <n v="3"/>
    <n v="1"/>
    <s v="No"/>
    <x v="2"/>
    <s v="High"/>
    <s v="Friends"/>
    <s v="Yes"/>
  </r>
  <r>
    <n v="112"/>
    <n v="2511"/>
    <n v="37"/>
    <x v="4"/>
    <x v="1"/>
    <x v="1"/>
    <x v="0"/>
    <s v="Snacks"/>
    <s v="Mid-range"/>
    <n v="520"/>
    <s v="Yes"/>
    <n v="42"/>
    <n v="7"/>
    <n v="4"/>
    <s v="No"/>
    <x v="1"/>
    <s v="Low"/>
    <s v="Partner"/>
    <s v="No"/>
  </r>
  <r>
    <n v="113"/>
    <n v="2586"/>
    <n v="19"/>
    <x v="0"/>
    <x v="3"/>
    <x v="0"/>
    <x v="4"/>
    <s v="Dinner"/>
    <s v="Premium"/>
    <n v="657"/>
    <s v="No"/>
    <n v="95"/>
    <n v="11"/>
    <n v="1"/>
    <s v="Yes"/>
    <x v="2"/>
    <s v="High"/>
    <s v="Partner"/>
    <s v="No"/>
  </r>
  <r>
    <n v="114"/>
    <n v="4172"/>
    <n v="44"/>
    <x v="2"/>
    <x v="2"/>
    <x v="0"/>
    <x v="2"/>
    <s v="Breakfast"/>
    <s v="Mid-range"/>
    <n v="264"/>
    <s v="Yes"/>
    <n v="44"/>
    <n v="6"/>
    <n v="4"/>
    <s v="No"/>
    <x v="3"/>
    <s v="Low"/>
    <s v="Partner"/>
    <s v="No"/>
  </r>
  <r>
    <n v="115"/>
    <n v="3534"/>
    <n v="43"/>
    <x v="3"/>
    <x v="0"/>
    <x v="1"/>
    <x v="1"/>
    <s v="Breakfast"/>
    <s v="Mid-range"/>
    <n v="240"/>
    <s v="Yes"/>
    <n v="65"/>
    <n v="6"/>
    <n v="3"/>
    <s v="No"/>
    <x v="1"/>
    <s v="Medium"/>
    <s v="Alone"/>
    <s v="No"/>
  </r>
  <r>
    <n v="116"/>
    <n v="4291"/>
    <n v="38"/>
    <x v="3"/>
    <x v="3"/>
    <x v="1"/>
    <x v="2"/>
    <s v="Lunch"/>
    <s v="Budget"/>
    <n v="521"/>
    <s v="No"/>
    <n v="52"/>
    <n v="5"/>
    <n v="5"/>
    <s v="No"/>
    <x v="0"/>
    <s v="Low"/>
    <s v="Alone"/>
    <s v="Yes"/>
  </r>
  <r>
    <n v="117"/>
    <n v="3654"/>
    <n v="24"/>
    <x v="0"/>
    <x v="0"/>
    <x v="1"/>
    <x v="0"/>
    <s v="Lunch"/>
    <s v="Mid-range"/>
    <n v="705"/>
    <s v="Yes"/>
    <n v="37"/>
    <n v="13"/>
    <n v="5"/>
    <s v="No"/>
    <x v="1"/>
    <s v="Low"/>
    <s v="Family"/>
    <s v="Yes"/>
  </r>
  <r>
    <n v="118"/>
    <n v="3558"/>
    <n v="25"/>
    <x v="0"/>
    <x v="0"/>
    <x v="1"/>
    <x v="5"/>
    <s v="Lunch"/>
    <s v="Budget"/>
    <n v="824"/>
    <s v="No"/>
    <n v="50"/>
    <n v="2"/>
    <n v="3"/>
    <s v="No"/>
    <x v="3"/>
    <s v="High"/>
    <s v="Family"/>
    <s v="Yes"/>
  </r>
  <r>
    <n v="119"/>
    <n v="2559"/>
    <n v="29"/>
    <x v="5"/>
    <x v="1"/>
    <x v="1"/>
    <x v="5"/>
    <s v="Breakfast"/>
    <s v="Premium"/>
    <n v="852"/>
    <s v="Yes"/>
    <n v="29"/>
    <n v="14"/>
    <n v="1"/>
    <s v="Yes"/>
    <x v="3"/>
    <s v="High"/>
    <s v="Family"/>
    <s v="No"/>
  </r>
  <r>
    <n v="120"/>
    <n v="2934"/>
    <n v="35"/>
    <x v="1"/>
    <x v="0"/>
    <x v="1"/>
    <x v="2"/>
    <s v="Dinner"/>
    <s v="Mid-range"/>
    <n v="685"/>
    <s v="Yes"/>
    <n v="78"/>
    <n v="11"/>
    <n v="1"/>
    <s v="Yes"/>
    <x v="3"/>
    <s v="High"/>
    <s v="Friends"/>
    <s v="No"/>
  </r>
  <r>
    <n v="121"/>
    <n v="4364"/>
    <n v="28"/>
    <x v="1"/>
    <x v="0"/>
    <x v="0"/>
    <x v="1"/>
    <s v="Lunch"/>
    <s v="Premium"/>
    <n v="764"/>
    <s v="Yes"/>
    <n v="37"/>
    <n v="2"/>
    <n v="1"/>
    <s v="Yes"/>
    <x v="3"/>
    <s v="High"/>
    <s v="Family"/>
    <s v="No"/>
  </r>
  <r>
    <n v="122"/>
    <n v="1581"/>
    <n v="44"/>
    <x v="5"/>
    <x v="3"/>
    <x v="0"/>
    <x v="2"/>
    <s v="Snacks"/>
    <s v="Mid-range"/>
    <n v="210"/>
    <s v="No"/>
    <n v="96"/>
    <n v="1"/>
    <n v="3"/>
    <s v="No"/>
    <x v="2"/>
    <s v="High"/>
    <s v="Family"/>
    <s v="No"/>
  </r>
  <r>
    <n v="123"/>
    <n v="1244"/>
    <n v="25"/>
    <x v="4"/>
    <x v="1"/>
    <x v="1"/>
    <x v="3"/>
    <s v="Breakfast"/>
    <s v="Mid-range"/>
    <n v="457"/>
    <s v="Yes"/>
    <n v="80"/>
    <n v="9"/>
    <n v="3"/>
    <s v="No"/>
    <x v="2"/>
    <s v="Low"/>
    <s v="Partner"/>
    <s v="No"/>
  </r>
  <r>
    <n v="124"/>
    <n v="2854"/>
    <n v="21"/>
    <x v="5"/>
    <x v="1"/>
    <x v="0"/>
    <x v="3"/>
    <s v="Breakfast"/>
    <s v="Budget"/>
    <n v="361"/>
    <s v="Yes"/>
    <n v="32"/>
    <n v="10"/>
    <n v="5"/>
    <s v="No"/>
    <x v="3"/>
    <s v="Medium"/>
    <s v="Friends"/>
    <s v="Yes"/>
  </r>
  <r>
    <n v="125"/>
    <n v="1421"/>
    <n v="26"/>
    <x v="5"/>
    <x v="2"/>
    <x v="0"/>
    <x v="1"/>
    <s v="Snacks"/>
    <s v="Mid-range"/>
    <n v="280"/>
    <s v="No"/>
    <n v="50"/>
    <n v="11"/>
    <n v="5"/>
    <s v="No"/>
    <x v="1"/>
    <s v="High"/>
    <s v="Alone"/>
    <s v="No"/>
  </r>
  <r>
    <n v="126"/>
    <n v="2408"/>
    <n v="29"/>
    <x v="4"/>
    <x v="3"/>
    <x v="0"/>
    <x v="3"/>
    <s v="Dinner"/>
    <s v="Mid-range"/>
    <n v="201"/>
    <s v="Yes"/>
    <n v="79"/>
    <n v="1"/>
    <n v="4"/>
    <s v="Yes"/>
    <x v="1"/>
    <s v="Medium"/>
    <s v="Friends"/>
    <s v="No"/>
  </r>
  <r>
    <n v="127"/>
    <n v="2240"/>
    <n v="37"/>
    <x v="0"/>
    <x v="0"/>
    <x v="1"/>
    <x v="3"/>
    <s v="Snacks"/>
    <s v="Premium"/>
    <n v="469"/>
    <s v="Yes"/>
    <n v="74"/>
    <n v="5"/>
    <n v="5"/>
    <s v="Yes"/>
    <x v="0"/>
    <s v="Low"/>
    <s v="Alone"/>
    <s v="No"/>
  </r>
  <r>
    <n v="128"/>
    <n v="1517"/>
    <n v="21"/>
    <x v="3"/>
    <x v="0"/>
    <x v="1"/>
    <x v="0"/>
    <s v="Breakfast"/>
    <s v="Budget"/>
    <n v="157"/>
    <s v="No"/>
    <n v="34"/>
    <n v="1"/>
    <n v="5"/>
    <s v="Yes"/>
    <x v="1"/>
    <s v="Medium"/>
    <s v="Family"/>
    <s v="No"/>
  </r>
  <r>
    <n v="129"/>
    <n v="1440"/>
    <n v="26"/>
    <x v="4"/>
    <x v="3"/>
    <x v="1"/>
    <x v="1"/>
    <s v="Lunch"/>
    <s v="Mid-range"/>
    <n v="665"/>
    <s v="No"/>
    <n v="97"/>
    <n v="13"/>
    <n v="2"/>
    <s v="No"/>
    <x v="0"/>
    <s v="Low"/>
    <s v="Friends"/>
    <s v="No"/>
  </r>
  <r>
    <n v="130"/>
    <n v="3367"/>
    <n v="44"/>
    <x v="5"/>
    <x v="1"/>
    <x v="0"/>
    <x v="0"/>
    <s v="Lunch"/>
    <s v="Budget"/>
    <n v="453"/>
    <s v="Yes"/>
    <n v="31"/>
    <n v="3"/>
    <n v="3"/>
    <s v="Yes"/>
    <x v="2"/>
    <s v="Medium"/>
    <s v="Partner"/>
    <s v="Yes"/>
  </r>
  <r>
    <n v="131"/>
    <n v="2806"/>
    <n v="24"/>
    <x v="3"/>
    <x v="2"/>
    <x v="1"/>
    <x v="4"/>
    <s v="Dinner"/>
    <s v="Budget"/>
    <n v="452"/>
    <s v="Yes"/>
    <n v="72"/>
    <n v="3"/>
    <n v="5"/>
    <s v="No"/>
    <x v="2"/>
    <s v="Medium"/>
    <s v="Partner"/>
    <s v="No"/>
  </r>
  <r>
    <n v="132"/>
    <n v="2768"/>
    <n v="24"/>
    <x v="1"/>
    <x v="1"/>
    <x v="1"/>
    <x v="1"/>
    <s v="Snacks"/>
    <s v="Mid-range"/>
    <n v="435"/>
    <s v="Yes"/>
    <n v="39"/>
    <n v="6"/>
    <n v="3"/>
    <s v="Yes"/>
    <x v="0"/>
    <s v="High"/>
    <s v="Friends"/>
    <s v="Yes"/>
  </r>
  <r>
    <n v="133"/>
    <n v="3744"/>
    <n v="43"/>
    <x v="5"/>
    <x v="0"/>
    <x v="1"/>
    <x v="2"/>
    <s v="Dinner"/>
    <s v="Budget"/>
    <n v="504"/>
    <s v="Yes"/>
    <n v="26"/>
    <n v="5"/>
    <n v="4"/>
    <s v="Yes"/>
    <x v="0"/>
    <s v="Low"/>
    <s v="Friends"/>
    <s v="Yes"/>
  </r>
  <r>
    <n v="134"/>
    <n v="2002"/>
    <n v="28"/>
    <x v="2"/>
    <x v="3"/>
    <x v="0"/>
    <x v="2"/>
    <s v="Breakfast"/>
    <s v="Mid-range"/>
    <n v="749"/>
    <s v="Yes"/>
    <n v="21"/>
    <n v="6"/>
    <n v="4"/>
    <s v="Yes"/>
    <x v="2"/>
    <s v="Medium"/>
    <s v="Partner"/>
    <s v="No"/>
  </r>
  <r>
    <n v="135"/>
    <n v="3039"/>
    <n v="39"/>
    <x v="5"/>
    <x v="0"/>
    <x v="1"/>
    <x v="5"/>
    <s v="Snacks"/>
    <s v="Budget"/>
    <n v="795"/>
    <s v="No"/>
    <n v="29"/>
    <n v="12"/>
    <n v="1"/>
    <s v="Yes"/>
    <x v="3"/>
    <s v="High"/>
    <s v="Family"/>
    <s v="Yes"/>
  </r>
  <r>
    <n v="136"/>
    <n v="2765"/>
    <n v="26"/>
    <x v="0"/>
    <x v="2"/>
    <x v="1"/>
    <x v="3"/>
    <s v="Snacks"/>
    <s v="Premium"/>
    <n v="929"/>
    <s v="No"/>
    <n v="22"/>
    <n v="12"/>
    <n v="5"/>
    <s v="No"/>
    <x v="1"/>
    <s v="High"/>
    <s v="Friends"/>
    <s v="Yes"/>
  </r>
  <r>
    <n v="137"/>
    <n v="1370"/>
    <n v="31"/>
    <x v="3"/>
    <x v="1"/>
    <x v="0"/>
    <x v="4"/>
    <s v="Breakfast"/>
    <s v="Mid-range"/>
    <n v="355"/>
    <s v="No"/>
    <n v="39"/>
    <n v="12"/>
    <n v="4"/>
    <s v="Yes"/>
    <x v="0"/>
    <s v="Medium"/>
    <s v="Partner"/>
    <s v="Yes"/>
  </r>
  <r>
    <n v="138"/>
    <n v="2435"/>
    <n v="23"/>
    <x v="0"/>
    <x v="2"/>
    <x v="0"/>
    <x v="1"/>
    <s v="Breakfast"/>
    <s v="Mid-range"/>
    <n v="369"/>
    <s v="Yes"/>
    <n v="43"/>
    <n v="1"/>
    <n v="2"/>
    <s v="No"/>
    <x v="1"/>
    <s v="Medium"/>
    <s v="Alone"/>
    <s v="Yes"/>
  </r>
  <r>
    <n v="139"/>
    <n v="1769"/>
    <n v="44"/>
    <x v="5"/>
    <x v="0"/>
    <x v="0"/>
    <x v="2"/>
    <s v="Snacks"/>
    <s v="Premium"/>
    <n v="747"/>
    <s v="No"/>
    <n v="87"/>
    <n v="10"/>
    <n v="1"/>
    <s v="No"/>
    <x v="0"/>
    <s v="High"/>
    <s v="Family"/>
    <s v="No"/>
  </r>
  <r>
    <n v="140"/>
    <n v="1788"/>
    <n v="40"/>
    <x v="4"/>
    <x v="0"/>
    <x v="1"/>
    <x v="3"/>
    <s v="Dinner"/>
    <s v="Budget"/>
    <n v="978"/>
    <s v="Yes"/>
    <n v="71"/>
    <n v="14"/>
    <n v="1"/>
    <s v="Yes"/>
    <x v="2"/>
    <s v="Medium"/>
    <s v="Friends"/>
    <s v="Yes"/>
  </r>
  <r>
    <n v="141"/>
    <n v="2829"/>
    <n v="19"/>
    <x v="1"/>
    <x v="3"/>
    <x v="0"/>
    <x v="3"/>
    <s v="Snacks"/>
    <s v="Premium"/>
    <n v="937"/>
    <s v="Yes"/>
    <n v="46"/>
    <n v="8"/>
    <n v="4"/>
    <s v="Yes"/>
    <x v="3"/>
    <s v="High"/>
    <s v="Family"/>
    <s v="No"/>
  </r>
  <r>
    <n v="142"/>
    <n v="4345"/>
    <n v="34"/>
    <x v="3"/>
    <x v="0"/>
    <x v="0"/>
    <x v="0"/>
    <s v="Snacks"/>
    <s v="Budget"/>
    <n v="604"/>
    <s v="Yes"/>
    <n v="60"/>
    <n v="11"/>
    <n v="3"/>
    <s v="No"/>
    <x v="2"/>
    <s v="Low"/>
    <s v="Partner"/>
    <s v="Yes"/>
  </r>
  <r>
    <n v="143"/>
    <n v="3764"/>
    <n v="41"/>
    <x v="3"/>
    <x v="1"/>
    <x v="1"/>
    <x v="1"/>
    <s v="Breakfast"/>
    <s v="Budget"/>
    <n v="353"/>
    <s v="No"/>
    <n v="81"/>
    <n v="3"/>
    <n v="4"/>
    <s v="No"/>
    <x v="3"/>
    <s v="Medium"/>
    <s v="Family"/>
    <s v="Yes"/>
  </r>
  <r>
    <n v="144"/>
    <n v="1703"/>
    <n v="43"/>
    <x v="5"/>
    <x v="3"/>
    <x v="1"/>
    <x v="4"/>
    <s v="Snacks"/>
    <s v="Mid-range"/>
    <n v="318"/>
    <s v="No"/>
    <n v="82"/>
    <n v="7"/>
    <n v="3"/>
    <s v="Yes"/>
    <x v="3"/>
    <s v="Medium"/>
    <s v="Alone"/>
    <s v="Yes"/>
  </r>
  <r>
    <n v="145"/>
    <n v="1253"/>
    <n v="27"/>
    <x v="0"/>
    <x v="2"/>
    <x v="1"/>
    <x v="0"/>
    <s v="Snacks"/>
    <s v="Mid-range"/>
    <n v="837"/>
    <s v="Yes"/>
    <n v="23"/>
    <n v="4"/>
    <n v="2"/>
    <s v="Yes"/>
    <x v="0"/>
    <s v="Medium"/>
    <s v="Partner"/>
    <s v="No"/>
  </r>
  <r>
    <n v="146"/>
    <n v="2580"/>
    <n v="19"/>
    <x v="4"/>
    <x v="2"/>
    <x v="1"/>
    <x v="2"/>
    <s v="Snacks"/>
    <s v="Mid-range"/>
    <n v="422"/>
    <s v="Yes"/>
    <n v="38"/>
    <n v="14"/>
    <n v="4"/>
    <s v="No"/>
    <x v="3"/>
    <s v="Medium"/>
    <s v="Family"/>
    <s v="Yes"/>
  </r>
  <r>
    <n v="147"/>
    <n v="4107"/>
    <n v="43"/>
    <x v="3"/>
    <x v="0"/>
    <x v="0"/>
    <x v="4"/>
    <s v="Dinner"/>
    <s v="Premium"/>
    <n v="137"/>
    <s v="No"/>
    <n v="95"/>
    <n v="11"/>
    <n v="1"/>
    <s v="Yes"/>
    <x v="3"/>
    <s v="Medium"/>
    <s v="Alone"/>
    <s v="Yes"/>
  </r>
  <r>
    <n v="148"/>
    <n v="1905"/>
    <n v="43"/>
    <x v="5"/>
    <x v="1"/>
    <x v="0"/>
    <x v="4"/>
    <s v="Snacks"/>
    <s v="Premium"/>
    <n v="589"/>
    <s v="No"/>
    <n v="25"/>
    <n v="7"/>
    <n v="3"/>
    <s v="Yes"/>
    <x v="2"/>
    <s v="High"/>
    <s v="Friends"/>
    <s v="No"/>
  </r>
  <r>
    <n v="149"/>
    <n v="3338"/>
    <n v="27"/>
    <x v="1"/>
    <x v="3"/>
    <x v="0"/>
    <x v="0"/>
    <s v="Snacks"/>
    <s v="Premium"/>
    <n v="720"/>
    <s v="Yes"/>
    <n v="61"/>
    <n v="4"/>
    <n v="2"/>
    <s v="No"/>
    <x v="2"/>
    <s v="Low"/>
    <s v="Partner"/>
    <s v="No"/>
  </r>
  <r>
    <n v="150"/>
    <n v="3766"/>
    <n v="26"/>
    <x v="2"/>
    <x v="0"/>
    <x v="0"/>
    <x v="4"/>
    <s v="Snacks"/>
    <s v="Premium"/>
    <n v="691"/>
    <s v="No"/>
    <n v="53"/>
    <n v="9"/>
    <n v="2"/>
    <s v="No"/>
    <x v="1"/>
    <s v="Medium"/>
    <s v="Alone"/>
    <s v="No"/>
  </r>
  <r>
    <n v="151"/>
    <n v="1546"/>
    <n v="43"/>
    <x v="3"/>
    <x v="2"/>
    <x v="0"/>
    <x v="0"/>
    <s v="Lunch"/>
    <s v="Mid-range"/>
    <n v="430"/>
    <s v="No"/>
    <n v="89"/>
    <n v="8"/>
    <n v="1"/>
    <s v="No"/>
    <x v="1"/>
    <s v="High"/>
    <s v="Partner"/>
    <s v="No"/>
  </r>
  <r>
    <n v="152"/>
    <n v="1535"/>
    <n v="40"/>
    <x v="3"/>
    <x v="0"/>
    <x v="1"/>
    <x v="3"/>
    <s v="Dinner"/>
    <s v="Budget"/>
    <n v="612"/>
    <s v="Yes"/>
    <n v="69"/>
    <n v="11"/>
    <n v="1"/>
    <s v="No"/>
    <x v="2"/>
    <s v="Medium"/>
    <s v="Family"/>
    <s v="No"/>
  </r>
  <r>
    <n v="153"/>
    <n v="2113"/>
    <n v="21"/>
    <x v="4"/>
    <x v="0"/>
    <x v="1"/>
    <x v="0"/>
    <s v="Breakfast"/>
    <s v="Premium"/>
    <n v="814"/>
    <s v="Yes"/>
    <n v="83"/>
    <n v="12"/>
    <n v="1"/>
    <s v="Yes"/>
    <x v="3"/>
    <s v="Low"/>
    <s v="Friends"/>
    <s v="No"/>
  </r>
  <r>
    <n v="154"/>
    <n v="1168"/>
    <n v="33"/>
    <x v="1"/>
    <x v="1"/>
    <x v="0"/>
    <x v="4"/>
    <s v="Dinner"/>
    <s v="Budget"/>
    <n v="972"/>
    <s v="Yes"/>
    <n v="87"/>
    <n v="2"/>
    <n v="2"/>
    <s v="No"/>
    <x v="0"/>
    <s v="Low"/>
    <s v="Partner"/>
    <s v="No"/>
  </r>
  <r>
    <n v="155"/>
    <n v="4450"/>
    <n v="41"/>
    <x v="1"/>
    <x v="2"/>
    <x v="0"/>
    <x v="1"/>
    <s v="Dinner"/>
    <s v="Mid-range"/>
    <n v="774"/>
    <s v="Yes"/>
    <n v="66"/>
    <n v="5"/>
    <n v="2"/>
    <s v="Yes"/>
    <x v="3"/>
    <s v="High"/>
    <s v="Family"/>
    <s v="Yes"/>
  </r>
  <r>
    <n v="156"/>
    <n v="3248"/>
    <n v="38"/>
    <x v="4"/>
    <x v="3"/>
    <x v="0"/>
    <x v="3"/>
    <s v="Dinner"/>
    <s v="Budget"/>
    <n v="903"/>
    <s v="No"/>
    <n v="28"/>
    <n v="4"/>
    <n v="1"/>
    <s v="Yes"/>
    <x v="1"/>
    <s v="Low"/>
    <s v="Alone"/>
    <s v="Yes"/>
  </r>
  <r>
    <n v="157"/>
    <n v="2926"/>
    <n v="38"/>
    <x v="2"/>
    <x v="2"/>
    <x v="0"/>
    <x v="2"/>
    <s v="Snacks"/>
    <s v="Premium"/>
    <n v="477"/>
    <s v="Yes"/>
    <n v="48"/>
    <n v="9"/>
    <n v="2"/>
    <s v="Yes"/>
    <x v="1"/>
    <s v="Low"/>
    <s v="Partner"/>
    <s v="Yes"/>
  </r>
  <r>
    <n v="158"/>
    <n v="2603"/>
    <n v="34"/>
    <x v="1"/>
    <x v="1"/>
    <x v="1"/>
    <x v="2"/>
    <s v="Breakfast"/>
    <s v="Premium"/>
    <n v="669"/>
    <s v="No"/>
    <n v="98"/>
    <n v="9"/>
    <n v="2"/>
    <s v="No"/>
    <x v="1"/>
    <s v="High"/>
    <s v="Partner"/>
    <s v="Yes"/>
  </r>
  <r>
    <n v="159"/>
    <n v="3220"/>
    <n v="28"/>
    <x v="3"/>
    <x v="2"/>
    <x v="1"/>
    <x v="1"/>
    <s v="Breakfast"/>
    <s v="Premium"/>
    <n v="782"/>
    <s v="No"/>
    <n v="89"/>
    <n v="3"/>
    <n v="3"/>
    <s v="No"/>
    <x v="1"/>
    <s v="Medium"/>
    <s v="Partner"/>
    <s v="Yes"/>
  </r>
  <r>
    <n v="160"/>
    <n v="4852"/>
    <n v="44"/>
    <x v="0"/>
    <x v="0"/>
    <x v="0"/>
    <x v="1"/>
    <s v="Lunch"/>
    <s v="Budget"/>
    <n v="992"/>
    <s v="No"/>
    <n v="74"/>
    <n v="13"/>
    <n v="5"/>
    <s v="Yes"/>
    <x v="0"/>
    <s v="Low"/>
    <s v="Partner"/>
    <s v="Yes"/>
  </r>
  <r>
    <n v="161"/>
    <n v="4748"/>
    <n v="43"/>
    <x v="1"/>
    <x v="0"/>
    <x v="1"/>
    <x v="1"/>
    <s v="Dinner"/>
    <s v="Mid-range"/>
    <n v="201"/>
    <s v="Yes"/>
    <n v="93"/>
    <n v="8"/>
    <n v="2"/>
    <s v="No"/>
    <x v="1"/>
    <s v="High"/>
    <s v="Alone"/>
    <s v="Yes"/>
  </r>
  <r>
    <n v="162"/>
    <n v="1775"/>
    <n v="28"/>
    <x v="5"/>
    <x v="1"/>
    <x v="0"/>
    <x v="1"/>
    <s v="Dinner"/>
    <s v="Budget"/>
    <n v="109"/>
    <s v="No"/>
    <n v="51"/>
    <n v="11"/>
    <n v="1"/>
    <s v="No"/>
    <x v="1"/>
    <s v="Medium"/>
    <s v="Alone"/>
    <s v="No"/>
  </r>
  <r>
    <n v="163"/>
    <n v="3282"/>
    <n v="41"/>
    <x v="4"/>
    <x v="3"/>
    <x v="0"/>
    <x v="2"/>
    <s v="Lunch"/>
    <s v="Premium"/>
    <n v="751"/>
    <s v="No"/>
    <n v="91"/>
    <n v="12"/>
    <n v="2"/>
    <s v="No"/>
    <x v="2"/>
    <s v="High"/>
    <s v="Friends"/>
    <s v="No"/>
  </r>
  <r>
    <n v="164"/>
    <n v="1314"/>
    <n v="43"/>
    <x v="2"/>
    <x v="0"/>
    <x v="1"/>
    <x v="1"/>
    <s v="Breakfast"/>
    <s v="Mid-range"/>
    <n v="727"/>
    <s v="Yes"/>
    <n v="28"/>
    <n v="1"/>
    <n v="2"/>
    <s v="No"/>
    <x v="1"/>
    <s v="High"/>
    <s v="Alone"/>
    <s v="No"/>
  </r>
  <r>
    <n v="165"/>
    <n v="4311"/>
    <n v="25"/>
    <x v="2"/>
    <x v="0"/>
    <x v="0"/>
    <x v="1"/>
    <s v="Breakfast"/>
    <s v="Budget"/>
    <n v="345"/>
    <s v="Yes"/>
    <n v="27"/>
    <n v="2"/>
    <n v="3"/>
    <s v="No"/>
    <x v="3"/>
    <s v="Medium"/>
    <s v="Alone"/>
    <s v="No"/>
  </r>
  <r>
    <n v="166"/>
    <n v="1353"/>
    <n v="40"/>
    <x v="0"/>
    <x v="0"/>
    <x v="0"/>
    <x v="5"/>
    <s v="Lunch"/>
    <s v="Mid-range"/>
    <n v="547"/>
    <s v="No"/>
    <n v="27"/>
    <n v="3"/>
    <n v="3"/>
    <s v="Yes"/>
    <x v="1"/>
    <s v="Medium"/>
    <s v="Family"/>
    <s v="No"/>
  </r>
  <r>
    <n v="167"/>
    <n v="4324"/>
    <n v="24"/>
    <x v="0"/>
    <x v="3"/>
    <x v="0"/>
    <x v="4"/>
    <s v="Breakfast"/>
    <s v="Budget"/>
    <n v="183"/>
    <s v="No"/>
    <n v="48"/>
    <n v="5"/>
    <n v="2"/>
    <s v="No"/>
    <x v="0"/>
    <s v="Medium"/>
    <s v="Friends"/>
    <s v="Yes"/>
  </r>
  <r>
    <n v="168"/>
    <n v="4253"/>
    <n v="28"/>
    <x v="2"/>
    <x v="1"/>
    <x v="0"/>
    <x v="2"/>
    <s v="Breakfast"/>
    <s v="Premium"/>
    <n v="943"/>
    <s v="Yes"/>
    <n v="88"/>
    <n v="2"/>
    <n v="1"/>
    <s v="No"/>
    <x v="0"/>
    <s v="Low"/>
    <s v="Partner"/>
    <s v="Yes"/>
  </r>
  <r>
    <n v="169"/>
    <n v="4198"/>
    <n v="37"/>
    <x v="1"/>
    <x v="0"/>
    <x v="0"/>
    <x v="5"/>
    <s v="Snacks"/>
    <s v="Premium"/>
    <n v="981"/>
    <s v="Yes"/>
    <n v="24"/>
    <n v="9"/>
    <n v="4"/>
    <s v="Yes"/>
    <x v="1"/>
    <s v="High"/>
    <s v="Partner"/>
    <s v="Yes"/>
  </r>
  <r>
    <n v="170"/>
    <n v="4307"/>
    <n v="20"/>
    <x v="0"/>
    <x v="3"/>
    <x v="0"/>
    <x v="1"/>
    <s v="Lunch"/>
    <s v="Premium"/>
    <n v="424"/>
    <s v="No"/>
    <n v="87"/>
    <n v="5"/>
    <n v="4"/>
    <s v="No"/>
    <x v="2"/>
    <s v="High"/>
    <s v="Family"/>
    <s v="No"/>
  </r>
  <r>
    <n v="171"/>
    <n v="2160"/>
    <n v="40"/>
    <x v="4"/>
    <x v="2"/>
    <x v="1"/>
    <x v="0"/>
    <s v="Snacks"/>
    <s v="Budget"/>
    <n v="717"/>
    <s v="Yes"/>
    <n v="56"/>
    <n v="2"/>
    <n v="2"/>
    <s v="No"/>
    <x v="3"/>
    <s v="High"/>
    <s v="Alone"/>
    <s v="Yes"/>
  </r>
  <r>
    <n v="172"/>
    <n v="4454"/>
    <n v="24"/>
    <x v="4"/>
    <x v="1"/>
    <x v="0"/>
    <x v="1"/>
    <s v="Breakfast"/>
    <s v="Budget"/>
    <n v="866"/>
    <s v="Yes"/>
    <n v="99"/>
    <n v="3"/>
    <n v="4"/>
    <s v="No"/>
    <x v="2"/>
    <s v="Low"/>
    <s v="Alone"/>
    <s v="Yes"/>
  </r>
  <r>
    <n v="173"/>
    <n v="3308"/>
    <n v="27"/>
    <x v="2"/>
    <x v="2"/>
    <x v="1"/>
    <x v="4"/>
    <s v="Lunch"/>
    <s v="Mid-range"/>
    <n v="831"/>
    <s v="Yes"/>
    <n v="45"/>
    <n v="3"/>
    <n v="3"/>
    <s v="Yes"/>
    <x v="2"/>
    <s v="High"/>
    <s v="Family"/>
    <s v="Yes"/>
  </r>
  <r>
    <n v="174"/>
    <n v="1312"/>
    <n v="34"/>
    <x v="0"/>
    <x v="0"/>
    <x v="1"/>
    <x v="2"/>
    <s v="Breakfast"/>
    <s v="Premium"/>
    <n v="181"/>
    <s v="Yes"/>
    <n v="27"/>
    <n v="12"/>
    <n v="2"/>
    <s v="No"/>
    <x v="3"/>
    <s v="High"/>
    <s v="Partner"/>
    <s v="Yes"/>
  </r>
  <r>
    <n v="175"/>
    <n v="3029"/>
    <n v="18"/>
    <x v="5"/>
    <x v="1"/>
    <x v="1"/>
    <x v="3"/>
    <s v="Breakfast"/>
    <s v="Budget"/>
    <n v="761"/>
    <s v="No"/>
    <n v="67"/>
    <n v="4"/>
    <n v="1"/>
    <s v="No"/>
    <x v="0"/>
    <s v="High"/>
    <s v="Friends"/>
    <s v="No"/>
  </r>
  <r>
    <n v="176"/>
    <n v="2499"/>
    <n v="28"/>
    <x v="0"/>
    <x v="2"/>
    <x v="0"/>
    <x v="5"/>
    <s v="Dinner"/>
    <s v="Budget"/>
    <n v="631"/>
    <s v="Yes"/>
    <n v="80"/>
    <n v="11"/>
    <n v="1"/>
    <s v="Yes"/>
    <x v="3"/>
    <s v="High"/>
    <s v="Alone"/>
    <s v="Yes"/>
  </r>
  <r>
    <n v="177"/>
    <n v="4631"/>
    <n v="36"/>
    <x v="4"/>
    <x v="1"/>
    <x v="1"/>
    <x v="4"/>
    <s v="Snacks"/>
    <s v="Mid-range"/>
    <n v="400"/>
    <s v="Yes"/>
    <n v="96"/>
    <n v="6"/>
    <n v="4"/>
    <s v="No"/>
    <x v="3"/>
    <s v="Medium"/>
    <s v="Friends"/>
    <s v="Yes"/>
  </r>
  <r>
    <n v="178"/>
    <n v="2127"/>
    <n v="31"/>
    <x v="5"/>
    <x v="2"/>
    <x v="1"/>
    <x v="0"/>
    <s v="Breakfast"/>
    <s v="Premium"/>
    <n v="151"/>
    <s v="No"/>
    <n v="20"/>
    <n v="7"/>
    <n v="5"/>
    <s v="No"/>
    <x v="2"/>
    <s v="High"/>
    <s v="Partner"/>
    <s v="No"/>
  </r>
  <r>
    <n v="179"/>
    <n v="4074"/>
    <n v="19"/>
    <x v="1"/>
    <x v="1"/>
    <x v="0"/>
    <x v="1"/>
    <s v="Lunch"/>
    <s v="Budget"/>
    <n v="986"/>
    <s v="Yes"/>
    <n v="66"/>
    <n v="8"/>
    <n v="1"/>
    <s v="No"/>
    <x v="1"/>
    <s v="Low"/>
    <s v="Friends"/>
    <s v="Yes"/>
  </r>
  <r>
    <n v="180"/>
    <n v="4035"/>
    <n v="44"/>
    <x v="0"/>
    <x v="3"/>
    <x v="0"/>
    <x v="5"/>
    <s v="Breakfast"/>
    <s v="Mid-range"/>
    <n v="416"/>
    <s v="No"/>
    <n v="59"/>
    <n v="6"/>
    <n v="1"/>
    <s v="Yes"/>
    <x v="1"/>
    <s v="High"/>
    <s v="Partner"/>
    <s v="No"/>
  </r>
  <r>
    <n v="181"/>
    <n v="4574"/>
    <n v="24"/>
    <x v="2"/>
    <x v="1"/>
    <x v="1"/>
    <x v="5"/>
    <s v="Dinner"/>
    <s v="Budget"/>
    <n v="895"/>
    <s v="No"/>
    <n v="88"/>
    <n v="3"/>
    <n v="5"/>
    <s v="No"/>
    <x v="1"/>
    <s v="High"/>
    <s v="Alone"/>
    <s v="Yes"/>
  </r>
  <r>
    <n v="182"/>
    <n v="3734"/>
    <n v="36"/>
    <x v="2"/>
    <x v="1"/>
    <x v="1"/>
    <x v="0"/>
    <s v="Dinner"/>
    <s v="Budget"/>
    <n v="119"/>
    <s v="Yes"/>
    <n v="27"/>
    <n v="9"/>
    <n v="1"/>
    <s v="Yes"/>
    <x v="1"/>
    <s v="High"/>
    <s v="Friends"/>
    <s v="Yes"/>
  </r>
  <r>
    <n v="183"/>
    <n v="2662"/>
    <n v="37"/>
    <x v="1"/>
    <x v="1"/>
    <x v="0"/>
    <x v="4"/>
    <s v="Snacks"/>
    <s v="Premium"/>
    <n v="635"/>
    <s v="No"/>
    <n v="77"/>
    <n v="8"/>
    <n v="2"/>
    <s v="Yes"/>
    <x v="0"/>
    <s v="Low"/>
    <s v="Alone"/>
    <s v="No"/>
  </r>
  <r>
    <n v="184"/>
    <n v="3659"/>
    <n v="26"/>
    <x v="3"/>
    <x v="1"/>
    <x v="1"/>
    <x v="2"/>
    <s v="Snacks"/>
    <s v="Budget"/>
    <n v="509"/>
    <s v="No"/>
    <n v="97"/>
    <n v="1"/>
    <n v="1"/>
    <s v="No"/>
    <x v="3"/>
    <s v="High"/>
    <s v="Partner"/>
    <s v="Yes"/>
  </r>
  <r>
    <n v="185"/>
    <n v="3601"/>
    <n v="23"/>
    <x v="0"/>
    <x v="0"/>
    <x v="1"/>
    <x v="2"/>
    <s v="Snacks"/>
    <s v="Premium"/>
    <n v="233"/>
    <s v="Yes"/>
    <n v="89"/>
    <n v="4"/>
    <n v="2"/>
    <s v="Yes"/>
    <x v="0"/>
    <s v="Low"/>
    <s v="Family"/>
    <s v="Yes"/>
  </r>
  <r>
    <n v="186"/>
    <n v="3326"/>
    <n v="31"/>
    <x v="1"/>
    <x v="2"/>
    <x v="0"/>
    <x v="2"/>
    <s v="Snacks"/>
    <s v="Budget"/>
    <n v="607"/>
    <s v="Yes"/>
    <n v="41"/>
    <n v="8"/>
    <n v="2"/>
    <s v="Yes"/>
    <x v="0"/>
    <s v="High"/>
    <s v="Alone"/>
    <s v="Yes"/>
  </r>
  <r>
    <n v="187"/>
    <n v="3846"/>
    <n v="26"/>
    <x v="1"/>
    <x v="3"/>
    <x v="0"/>
    <x v="3"/>
    <s v="Breakfast"/>
    <s v="Mid-range"/>
    <n v="722"/>
    <s v="No"/>
    <n v="85"/>
    <n v="7"/>
    <n v="2"/>
    <s v="Yes"/>
    <x v="3"/>
    <s v="Medium"/>
    <s v="Friends"/>
    <s v="No"/>
  </r>
  <r>
    <n v="188"/>
    <n v="3470"/>
    <n v="30"/>
    <x v="0"/>
    <x v="1"/>
    <x v="0"/>
    <x v="1"/>
    <s v="Snacks"/>
    <s v="Budget"/>
    <n v="476"/>
    <s v="No"/>
    <n v="77"/>
    <n v="3"/>
    <n v="3"/>
    <s v="Yes"/>
    <x v="0"/>
    <s v="High"/>
    <s v="Alone"/>
    <s v="No"/>
  </r>
  <r>
    <n v="189"/>
    <n v="1934"/>
    <n v="18"/>
    <x v="0"/>
    <x v="1"/>
    <x v="1"/>
    <x v="0"/>
    <s v="Dinner"/>
    <s v="Budget"/>
    <n v="110"/>
    <s v="No"/>
    <n v="60"/>
    <n v="8"/>
    <n v="1"/>
    <s v="Yes"/>
    <x v="3"/>
    <s v="Medium"/>
    <s v="Alone"/>
    <s v="Yes"/>
  </r>
  <r>
    <n v="190"/>
    <n v="3205"/>
    <n v="41"/>
    <x v="5"/>
    <x v="1"/>
    <x v="1"/>
    <x v="2"/>
    <s v="Snacks"/>
    <s v="Mid-range"/>
    <n v="677"/>
    <s v="Yes"/>
    <n v="22"/>
    <n v="5"/>
    <n v="4"/>
    <s v="No"/>
    <x v="3"/>
    <s v="High"/>
    <s v="Friends"/>
    <s v="No"/>
  </r>
  <r>
    <n v="191"/>
    <n v="1508"/>
    <n v="19"/>
    <x v="5"/>
    <x v="0"/>
    <x v="0"/>
    <x v="5"/>
    <s v="Lunch"/>
    <s v="Budget"/>
    <n v="563"/>
    <s v="Yes"/>
    <n v="98"/>
    <n v="12"/>
    <n v="3"/>
    <s v="No"/>
    <x v="1"/>
    <s v="High"/>
    <s v="Partner"/>
    <s v="Yes"/>
  </r>
  <r>
    <n v="192"/>
    <n v="1084"/>
    <n v="40"/>
    <x v="3"/>
    <x v="3"/>
    <x v="1"/>
    <x v="1"/>
    <s v="Breakfast"/>
    <s v="Budget"/>
    <n v="524"/>
    <s v="Yes"/>
    <n v="29"/>
    <n v="4"/>
    <n v="1"/>
    <s v="Yes"/>
    <x v="3"/>
    <s v="Medium"/>
    <s v="Family"/>
    <s v="No"/>
  </r>
  <r>
    <n v="193"/>
    <n v="4855"/>
    <n v="43"/>
    <x v="3"/>
    <x v="3"/>
    <x v="0"/>
    <x v="0"/>
    <s v="Snacks"/>
    <s v="Mid-range"/>
    <n v="719"/>
    <s v="Yes"/>
    <n v="42"/>
    <n v="11"/>
    <n v="3"/>
    <s v="Yes"/>
    <x v="2"/>
    <s v="Medium"/>
    <s v="Alone"/>
    <s v="No"/>
  </r>
  <r>
    <n v="194"/>
    <n v="1478"/>
    <n v="27"/>
    <x v="3"/>
    <x v="1"/>
    <x v="1"/>
    <x v="1"/>
    <s v="Breakfast"/>
    <s v="Budget"/>
    <n v="800"/>
    <s v="Yes"/>
    <n v="70"/>
    <n v="12"/>
    <n v="2"/>
    <s v="Yes"/>
    <x v="2"/>
    <s v="High"/>
    <s v="Family"/>
    <s v="No"/>
  </r>
  <r>
    <n v="195"/>
    <n v="4731"/>
    <n v="21"/>
    <x v="2"/>
    <x v="2"/>
    <x v="1"/>
    <x v="5"/>
    <s v="Dinner"/>
    <s v="Budget"/>
    <n v="226"/>
    <s v="No"/>
    <n v="63"/>
    <n v="4"/>
    <n v="4"/>
    <s v="No"/>
    <x v="3"/>
    <s v="High"/>
    <s v="Friends"/>
    <s v="Yes"/>
  </r>
  <r>
    <n v="196"/>
    <n v="1941"/>
    <n v="38"/>
    <x v="0"/>
    <x v="3"/>
    <x v="1"/>
    <x v="1"/>
    <s v="Snacks"/>
    <s v="Mid-range"/>
    <n v="492"/>
    <s v="No"/>
    <n v="43"/>
    <n v="2"/>
    <n v="5"/>
    <s v="Yes"/>
    <x v="0"/>
    <s v="Low"/>
    <s v="Alone"/>
    <s v="No"/>
  </r>
  <r>
    <n v="197"/>
    <n v="1194"/>
    <n v="24"/>
    <x v="2"/>
    <x v="1"/>
    <x v="0"/>
    <x v="1"/>
    <s v="Lunch"/>
    <s v="Mid-range"/>
    <n v="516"/>
    <s v="No"/>
    <n v="45"/>
    <n v="3"/>
    <n v="5"/>
    <s v="No"/>
    <x v="0"/>
    <s v="Medium"/>
    <s v="Family"/>
    <s v="Yes"/>
  </r>
  <r>
    <n v="198"/>
    <n v="1732"/>
    <n v="28"/>
    <x v="0"/>
    <x v="2"/>
    <x v="0"/>
    <x v="5"/>
    <s v="Dinner"/>
    <s v="Mid-range"/>
    <n v="136"/>
    <s v="Yes"/>
    <n v="49"/>
    <n v="8"/>
    <n v="5"/>
    <s v="Yes"/>
    <x v="1"/>
    <s v="Low"/>
    <s v="Friends"/>
    <s v="Yes"/>
  </r>
  <r>
    <n v="199"/>
    <n v="2912"/>
    <n v="44"/>
    <x v="3"/>
    <x v="0"/>
    <x v="1"/>
    <x v="4"/>
    <s v="Breakfast"/>
    <s v="Budget"/>
    <n v="918"/>
    <s v="No"/>
    <n v="74"/>
    <n v="5"/>
    <n v="3"/>
    <s v="Yes"/>
    <x v="2"/>
    <s v="Low"/>
    <s v="Family"/>
    <s v="Yes"/>
  </r>
  <r>
    <n v="200"/>
    <n v="3690"/>
    <n v="35"/>
    <x v="5"/>
    <x v="1"/>
    <x v="0"/>
    <x v="1"/>
    <s v="Snacks"/>
    <s v="Premium"/>
    <n v="738"/>
    <s v="Yes"/>
    <n v="88"/>
    <n v="10"/>
    <n v="5"/>
    <s v="Yes"/>
    <x v="0"/>
    <s v="High"/>
    <s v="Alone"/>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BD9B5A-0180-4EDE-8487-C537A3C2FFC8}"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1:H6" firstHeaderRow="1" firstDataRow="1" firstDataCol="1"/>
  <pivotFields count="19">
    <pivotField dataField="1" showAll="0"/>
    <pivotField showAll="0"/>
    <pivotField showAll="0"/>
    <pivotField showAll="0">
      <items count="7">
        <item x="4"/>
        <item x="3"/>
        <item x="2"/>
        <item x="5"/>
        <item x="1"/>
        <item x="0"/>
        <item t="default"/>
      </items>
    </pivotField>
    <pivotField axis="axisRow" showAll="0">
      <items count="5">
        <item x="3"/>
        <item x="0"/>
        <item x="2"/>
        <item x="1"/>
        <item t="default"/>
      </items>
    </pivotField>
    <pivotField showAll="0"/>
    <pivotField showAll="0">
      <items count="7">
        <item x="2"/>
        <item x="0"/>
        <item x="5"/>
        <item x="3"/>
        <item x="4"/>
        <item x="1"/>
        <item t="default"/>
      </items>
    </pivotField>
    <pivotField showAll="0"/>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s>
  <rowFields count="1">
    <field x="4"/>
  </rowFields>
  <rowItems count="5">
    <i>
      <x/>
    </i>
    <i>
      <x v="1"/>
    </i>
    <i>
      <x v="2"/>
    </i>
    <i>
      <x v="3"/>
    </i>
    <i t="grand">
      <x/>
    </i>
  </rowItems>
  <colItems count="1">
    <i/>
  </colItems>
  <dataFields count="1">
    <dataField name="Count of order_id" fld="0" subtotal="count" baseField="6" baseItem="0"/>
  </dataFields>
  <chartFormats count="2">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B0D624-0CAB-47DD-90ED-98F22CCB15A0}"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1:E8" firstHeaderRow="1" firstDataRow="1" firstDataCol="1"/>
  <pivotFields count="19">
    <pivotField dataField="1" showAll="0"/>
    <pivotField showAll="0"/>
    <pivotField showAll="0"/>
    <pivotField showAll="0">
      <items count="7">
        <item x="4"/>
        <item x="3"/>
        <item x="2"/>
        <item x="5"/>
        <item x="1"/>
        <item x="0"/>
        <item t="default"/>
      </items>
    </pivotField>
    <pivotField showAll="0"/>
    <pivotField showAll="0"/>
    <pivotField axis="axisRow" showAll="0">
      <items count="7">
        <item x="2"/>
        <item x="0"/>
        <item x="5"/>
        <item x="3"/>
        <item x="4"/>
        <item x="1"/>
        <item t="default"/>
      </items>
    </pivotField>
    <pivotField showAll="0"/>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s>
  <rowFields count="1">
    <field x="6"/>
  </rowFields>
  <rowItems count="7">
    <i>
      <x/>
    </i>
    <i>
      <x v="1"/>
    </i>
    <i>
      <x v="2"/>
    </i>
    <i>
      <x v="3"/>
    </i>
    <i>
      <x v="4"/>
    </i>
    <i>
      <x v="5"/>
    </i>
    <i t="grand">
      <x/>
    </i>
  </rowItems>
  <colItems count="1">
    <i/>
  </colItems>
  <dataFields count="1">
    <dataField name="Count of order_id" fld="0" subtotal="count" baseField="6" baseItem="0"/>
  </dataField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3FD894-4B89-44C4-8B6B-D854616B38C3}"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8" firstHeaderRow="1" firstDataRow="1" firstDataCol="1"/>
  <pivotFields count="19">
    <pivotField dataField="1" showAll="0"/>
    <pivotField showAll="0"/>
    <pivotField showAll="0"/>
    <pivotField axis="axisRow" showAll="0">
      <items count="7">
        <item x="4"/>
        <item x="3"/>
        <item x="2"/>
        <item x="5"/>
        <item x="1"/>
        <item x="0"/>
        <item t="default"/>
      </items>
    </pivotField>
    <pivotField showAll="0">
      <items count="5">
        <item x="3"/>
        <item x="0"/>
        <item x="2"/>
        <item x="1"/>
        <item t="default"/>
      </items>
    </pivotField>
    <pivotField showAll="0">
      <items count="3">
        <item x="1"/>
        <item x="0"/>
        <item t="default"/>
      </items>
    </pivotField>
    <pivotField showAll="0">
      <items count="7">
        <item x="2"/>
        <item x="0"/>
        <item x="5"/>
        <item x="3"/>
        <item x="4"/>
        <item x="1"/>
        <item t="default"/>
      </items>
    </pivotField>
    <pivotField showAll="0"/>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s>
  <rowFields count="1">
    <field x="3"/>
  </rowFields>
  <rowItems count="7">
    <i>
      <x/>
    </i>
    <i>
      <x v="1"/>
    </i>
    <i>
      <x v="2"/>
    </i>
    <i>
      <x v="3"/>
    </i>
    <i>
      <x v="4"/>
    </i>
    <i>
      <x v="5"/>
    </i>
    <i t="grand">
      <x/>
    </i>
  </rowItems>
  <colItems count="1">
    <i/>
  </colItems>
  <dataFields count="1">
    <dataField name="Count of order_id" fld="0" subtotal="count" baseField="3"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2C67C9D-BA9C-409C-A72B-92361A8D623D}" sourceName="city">
  <pivotTables>
    <pivotTable tabId="5" name="PivotTable1"/>
  </pivotTables>
  <data>
    <tabular pivotCacheId="290979118">
      <items count="6">
        <i x="4" s="1"/>
        <i x="3" s="1"/>
        <i x="2" s="1"/>
        <i x="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ime" xr10:uid="{1900AF6D-69C3-4A83-91B2-9D489E2B3BE9}" sourceName="order_time">
  <pivotTables>
    <pivotTable tabId="5" name="PivotTable1"/>
  </pivotTables>
  <data>
    <tabular pivotCacheId="290979118">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F9689AF7-9C70-4EEA-8806-7174DFDA84D2}" sourceName="day_type">
  <pivotTables>
    <pivotTable tabId="5" name="PivotTable1"/>
  </pivotTables>
  <data>
    <tabular pivotCacheId="29097911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53D47C60-9E07-406D-9871-6057CBB40AEF}" sourceName="cuisine">
  <pivotTables>
    <pivotTable tabId="5" name="PivotTable1"/>
  </pivotTables>
  <data>
    <tabular pivotCacheId="290979118">
      <items count="6">
        <i x="2" s="1"/>
        <i x="0" s="1"/>
        <i x="5" s="1"/>
        <i x="3"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F4F3CEA-C2B6-463C-BAAE-2877F347A462}" cache="Slicer_city" caption="city" rowHeight="234950"/>
  <slicer name="order_time" xr10:uid="{83221539-A9E1-43FA-BCE3-3E705B56502B}" cache="Slicer_order_time" caption="order_time" rowHeight="234950"/>
  <slicer name="day_type" xr10:uid="{6E2BC6C2-64F8-4467-93FE-60124A640438}" cache="Slicer_day_type" caption="day_type" rowHeight="234950"/>
  <slicer name="cuisine" xr10:uid="{9796B17B-0195-4A83-89EB-5F517184E63F}" cache="Slicer_cuisine" caption="cuisin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99BD7-0C55-4F5A-924E-474B6039E5D2}">
  <dimension ref="A1:M10"/>
  <sheetViews>
    <sheetView zoomScaleNormal="100" workbookViewId="0">
      <selection activeCell="L1" sqref="L1"/>
    </sheetView>
  </sheetViews>
  <sheetFormatPr defaultRowHeight="14.4" x14ac:dyDescent="0.3"/>
  <cols>
    <col min="1" max="1" width="12.5546875" bestFit="1" customWidth="1"/>
    <col min="2" max="2" width="16" bestFit="1" customWidth="1"/>
    <col min="11" max="11" width="12.5546875" bestFit="1" customWidth="1"/>
    <col min="12" max="12" width="16" bestFit="1" customWidth="1"/>
  </cols>
  <sheetData>
    <row r="1" spans="1:13" ht="23.4" x14ac:dyDescent="0.45">
      <c r="A1" s="6" t="s">
        <v>60</v>
      </c>
      <c r="B1" s="7"/>
      <c r="C1" s="6" t="s">
        <v>61</v>
      </c>
      <c r="D1" s="7"/>
      <c r="E1" s="7"/>
      <c r="F1" s="6" t="s">
        <v>62</v>
      </c>
      <c r="G1" s="7"/>
      <c r="H1" s="7" t="s">
        <v>64</v>
      </c>
      <c r="I1" s="6" t="s">
        <v>63</v>
      </c>
    </row>
    <row r="2" spans="1:13" ht="31.2" x14ac:dyDescent="0.6">
      <c r="A2" s="5">
        <f>COUNTA(food_ordering_behavior_dataset!A2:A201)</f>
        <v>200</v>
      </c>
      <c r="C2" s="4">
        <f>AVERAGE(food_ordering_behavior_dataset!J2:J201)</f>
        <v>536.69000000000005</v>
      </c>
      <c r="F2" s="4" t="s">
        <v>30</v>
      </c>
      <c r="I2" s="4" t="s">
        <v>32</v>
      </c>
    </row>
    <row r="4" spans="1:13" x14ac:dyDescent="0.3">
      <c r="M4" s="2"/>
    </row>
    <row r="5" spans="1:13" x14ac:dyDescent="0.3">
      <c r="M5" s="2"/>
    </row>
    <row r="6" spans="1:13" x14ac:dyDescent="0.3">
      <c r="M6" s="2"/>
    </row>
    <row r="7" spans="1:13" x14ac:dyDescent="0.3">
      <c r="M7" s="2"/>
    </row>
    <row r="8" spans="1:13" x14ac:dyDescent="0.3">
      <c r="M8" s="2"/>
    </row>
    <row r="9" spans="1:13" x14ac:dyDescent="0.3">
      <c r="M9" s="2"/>
    </row>
    <row r="10" spans="1:13" x14ac:dyDescent="0.3">
      <c r="M10" s="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C6F1A-25A8-4FA4-B58F-095817A2D503}">
  <dimension ref="A1:H8"/>
  <sheetViews>
    <sheetView workbookViewId="0">
      <selection activeCell="D2" sqref="D2"/>
    </sheetView>
  </sheetViews>
  <sheetFormatPr defaultRowHeight="14.4" x14ac:dyDescent="0.3"/>
  <cols>
    <col min="1" max="1" width="12.5546875" bestFit="1" customWidth="1"/>
    <col min="2" max="2" width="16" bestFit="1" customWidth="1"/>
  </cols>
  <sheetData>
    <row r="1" spans="1:8" x14ac:dyDescent="0.3">
      <c r="A1" s="1" t="s">
        <v>57</v>
      </c>
      <c r="B1" t="s">
        <v>59</v>
      </c>
      <c r="D1" s="1" t="s">
        <v>57</v>
      </c>
      <c r="E1" t="s">
        <v>59</v>
      </c>
      <c r="G1" s="1" t="s">
        <v>57</v>
      </c>
      <c r="H1" t="s">
        <v>59</v>
      </c>
    </row>
    <row r="2" spans="1:8" x14ac:dyDescent="0.3">
      <c r="A2" s="2" t="s">
        <v>52</v>
      </c>
      <c r="B2" s="3">
        <v>34</v>
      </c>
      <c r="D2" s="2" t="s">
        <v>39</v>
      </c>
      <c r="E2" s="3">
        <v>33</v>
      </c>
      <c r="G2" s="2" t="s">
        <v>50</v>
      </c>
      <c r="H2" s="3">
        <v>51</v>
      </c>
    </row>
    <row r="3" spans="1:8" x14ac:dyDescent="0.3">
      <c r="A3" s="2" t="s">
        <v>47</v>
      </c>
      <c r="B3" s="3">
        <v>37</v>
      </c>
      <c r="D3" s="2" t="s">
        <v>22</v>
      </c>
      <c r="E3" s="3">
        <v>36</v>
      </c>
      <c r="G3" s="2" t="s">
        <v>20</v>
      </c>
      <c r="H3" s="3">
        <v>59</v>
      </c>
    </row>
    <row r="4" spans="1:8" x14ac:dyDescent="0.3">
      <c r="A4" s="2" t="s">
        <v>37</v>
      </c>
      <c r="B4" s="3">
        <v>31</v>
      </c>
      <c r="D4" s="2" t="s">
        <v>55</v>
      </c>
      <c r="E4" s="3">
        <v>32</v>
      </c>
      <c r="G4" s="2" t="s">
        <v>38</v>
      </c>
      <c r="H4" s="3">
        <v>36</v>
      </c>
    </row>
    <row r="5" spans="1:8" x14ac:dyDescent="0.3">
      <c r="A5" s="2" t="s">
        <v>56</v>
      </c>
      <c r="B5" s="3">
        <v>24</v>
      </c>
      <c r="D5" s="2" t="s">
        <v>53</v>
      </c>
      <c r="E5" s="3">
        <v>28</v>
      </c>
      <c r="G5" s="2" t="s">
        <v>31</v>
      </c>
      <c r="H5" s="3">
        <v>54</v>
      </c>
    </row>
    <row r="6" spans="1:8" x14ac:dyDescent="0.3">
      <c r="A6" s="2" t="s">
        <v>30</v>
      </c>
      <c r="B6" s="3">
        <v>38</v>
      </c>
      <c r="D6" s="2" t="s">
        <v>54</v>
      </c>
      <c r="E6" s="3">
        <v>23</v>
      </c>
      <c r="G6" s="2" t="s">
        <v>58</v>
      </c>
      <c r="H6" s="3">
        <v>200</v>
      </c>
    </row>
    <row r="7" spans="1:8" x14ac:dyDescent="0.3">
      <c r="A7" s="2" t="s">
        <v>19</v>
      </c>
      <c r="B7" s="3">
        <v>36</v>
      </c>
      <c r="D7" s="2" t="s">
        <v>32</v>
      </c>
      <c r="E7" s="3">
        <v>48</v>
      </c>
    </row>
    <row r="8" spans="1:8" x14ac:dyDescent="0.3">
      <c r="A8" s="2" t="s">
        <v>58</v>
      </c>
      <c r="B8" s="3">
        <v>200</v>
      </c>
      <c r="D8" s="2" t="s">
        <v>58</v>
      </c>
      <c r="E8" s="3">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67F1A-734A-4B25-849A-BDAF5DF56C62}">
  <dimension ref="A1:S50001"/>
  <sheetViews>
    <sheetView tabSelected="1" workbookViewId="0"/>
  </sheetViews>
  <sheetFormatPr defaultRowHeight="14.4" x14ac:dyDescent="0.3"/>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v>1</v>
      </c>
      <c r="B2">
        <v>2698</v>
      </c>
      <c r="C2">
        <v>35</v>
      </c>
      <c r="D2" t="s">
        <v>19</v>
      </c>
      <c r="E2" t="s">
        <v>20</v>
      </c>
      <c r="F2" t="s">
        <v>21</v>
      </c>
      <c r="G2" t="s">
        <v>22</v>
      </c>
      <c r="H2" t="s">
        <v>23</v>
      </c>
      <c r="I2" t="s">
        <v>24</v>
      </c>
      <c r="J2">
        <v>971</v>
      </c>
      <c r="K2" t="s">
        <v>25</v>
      </c>
      <c r="L2">
        <v>90</v>
      </c>
      <c r="M2">
        <v>13</v>
      </c>
      <c r="N2">
        <v>1</v>
      </c>
      <c r="O2" t="s">
        <v>25</v>
      </c>
      <c r="P2" t="s">
        <v>26</v>
      </c>
      <c r="Q2" t="s">
        <v>27</v>
      </c>
      <c r="R2" t="s">
        <v>28</v>
      </c>
      <c r="S2" t="s">
        <v>29</v>
      </c>
    </row>
    <row r="3" spans="1:19" x14ac:dyDescent="0.3">
      <c r="A3">
        <v>2</v>
      </c>
      <c r="B3">
        <v>3237</v>
      </c>
      <c r="C3">
        <v>44</v>
      </c>
      <c r="D3" t="s">
        <v>30</v>
      </c>
      <c r="E3" t="s">
        <v>31</v>
      </c>
      <c r="F3" t="s">
        <v>21</v>
      </c>
      <c r="G3" t="s">
        <v>32</v>
      </c>
      <c r="H3" t="s">
        <v>23</v>
      </c>
      <c r="I3" t="s">
        <v>33</v>
      </c>
      <c r="J3">
        <v>442</v>
      </c>
      <c r="K3" t="s">
        <v>29</v>
      </c>
      <c r="L3">
        <v>26</v>
      </c>
      <c r="M3">
        <v>13</v>
      </c>
      <c r="N3">
        <v>2</v>
      </c>
      <c r="O3" t="s">
        <v>29</v>
      </c>
      <c r="P3" t="s">
        <v>34</v>
      </c>
      <c r="Q3" t="s">
        <v>35</v>
      </c>
      <c r="R3" t="s">
        <v>36</v>
      </c>
      <c r="S3" t="s">
        <v>29</v>
      </c>
    </row>
    <row r="4" spans="1:19" x14ac:dyDescent="0.3">
      <c r="A4">
        <v>3</v>
      </c>
      <c r="B4">
        <v>3626</v>
      </c>
      <c r="C4">
        <v>31</v>
      </c>
      <c r="D4" t="s">
        <v>37</v>
      </c>
      <c r="E4" t="s">
        <v>38</v>
      </c>
      <c r="F4" t="s">
        <v>21</v>
      </c>
      <c r="G4" t="s">
        <v>39</v>
      </c>
      <c r="H4" t="s">
        <v>40</v>
      </c>
      <c r="I4" t="s">
        <v>41</v>
      </c>
      <c r="J4">
        <v>739</v>
      </c>
      <c r="K4" t="s">
        <v>25</v>
      </c>
      <c r="L4">
        <v>85</v>
      </c>
      <c r="M4">
        <v>10</v>
      </c>
      <c r="N4">
        <v>2</v>
      </c>
      <c r="O4" t="s">
        <v>25</v>
      </c>
      <c r="P4" t="s">
        <v>42</v>
      </c>
      <c r="Q4" t="s">
        <v>43</v>
      </c>
      <c r="R4" t="s">
        <v>44</v>
      </c>
      <c r="S4" t="s">
        <v>29</v>
      </c>
    </row>
    <row r="5" spans="1:19" x14ac:dyDescent="0.3">
      <c r="A5">
        <v>4</v>
      </c>
      <c r="B5">
        <v>3176</v>
      </c>
      <c r="C5">
        <v>23</v>
      </c>
      <c r="D5" t="s">
        <v>37</v>
      </c>
      <c r="E5" t="s">
        <v>20</v>
      </c>
      <c r="F5" t="s">
        <v>21</v>
      </c>
      <c r="G5" t="s">
        <v>39</v>
      </c>
      <c r="H5" t="s">
        <v>45</v>
      </c>
      <c r="I5" t="s">
        <v>41</v>
      </c>
      <c r="J5">
        <v>466</v>
      </c>
      <c r="K5" t="s">
        <v>29</v>
      </c>
      <c r="L5">
        <v>44</v>
      </c>
      <c r="M5">
        <v>12</v>
      </c>
      <c r="N5">
        <v>2</v>
      </c>
      <c r="O5" t="s">
        <v>29</v>
      </c>
      <c r="P5" t="s">
        <v>42</v>
      </c>
      <c r="Q5" t="s">
        <v>43</v>
      </c>
      <c r="R5" t="s">
        <v>46</v>
      </c>
      <c r="S5" t="s">
        <v>29</v>
      </c>
    </row>
    <row r="6" spans="1:19" x14ac:dyDescent="0.3">
      <c r="A6">
        <v>5</v>
      </c>
      <c r="B6">
        <v>4824</v>
      </c>
      <c r="C6">
        <v>26</v>
      </c>
      <c r="D6" t="s">
        <v>47</v>
      </c>
      <c r="E6" t="s">
        <v>38</v>
      </c>
      <c r="F6" t="s">
        <v>48</v>
      </c>
      <c r="G6" t="s">
        <v>22</v>
      </c>
      <c r="H6" t="s">
        <v>49</v>
      </c>
      <c r="I6" t="s">
        <v>24</v>
      </c>
      <c r="J6">
        <v>927</v>
      </c>
      <c r="K6" t="s">
        <v>25</v>
      </c>
      <c r="L6">
        <v>58</v>
      </c>
      <c r="M6">
        <v>13</v>
      </c>
      <c r="N6">
        <v>2</v>
      </c>
      <c r="O6" t="s">
        <v>29</v>
      </c>
      <c r="P6" t="s">
        <v>42</v>
      </c>
      <c r="Q6" t="s">
        <v>43</v>
      </c>
      <c r="R6" t="s">
        <v>28</v>
      </c>
      <c r="S6" t="s">
        <v>25</v>
      </c>
    </row>
    <row r="7" spans="1:19" x14ac:dyDescent="0.3">
      <c r="A7">
        <v>6</v>
      </c>
      <c r="B7">
        <v>2854</v>
      </c>
      <c r="C7">
        <v>33</v>
      </c>
      <c r="D7" t="s">
        <v>30</v>
      </c>
      <c r="E7" t="s">
        <v>50</v>
      </c>
      <c r="F7" t="s">
        <v>21</v>
      </c>
      <c r="G7" t="s">
        <v>39</v>
      </c>
      <c r="H7" t="s">
        <v>23</v>
      </c>
      <c r="I7" t="s">
        <v>33</v>
      </c>
      <c r="J7">
        <v>207</v>
      </c>
      <c r="K7" t="s">
        <v>29</v>
      </c>
      <c r="L7">
        <v>42</v>
      </c>
      <c r="M7">
        <v>1</v>
      </c>
      <c r="N7">
        <v>1</v>
      </c>
      <c r="O7" t="s">
        <v>29</v>
      </c>
      <c r="P7" t="s">
        <v>51</v>
      </c>
      <c r="Q7" t="s">
        <v>27</v>
      </c>
      <c r="R7" t="s">
        <v>28</v>
      </c>
      <c r="S7" t="s">
        <v>29</v>
      </c>
    </row>
    <row r="8" spans="1:19" x14ac:dyDescent="0.3">
      <c r="A8">
        <v>7</v>
      </c>
      <c r="B8">
        <v>3019</v>
      </c>
      <c r="C8">
        <v>33</v>
      </c>
      <c r="D8" t="s">
        <v>52</v>
      </c>
      <c r="E8" t="s">
        <v>20</v>
      </c>
      <c r="F8" t="s">
        <v>48</v>
      </c>
      <c r="G8" t="s">
        <v>22</v>
      </c>
      <c r="H8" t="s">
        <v>49</v>
      </c>
      <c r="I8" t="s">
        <v>33</v>
      </c>
      <c r="J8">
        <v>565</v>
      </c>
      <c r="K8" t="s">
        <v>29</v>
      </c>
      <c r="L8">
        <v>28</v>
      </c>
      <c r="M8">
        <v>1</v>
      </c>
      <c r="N8">
        <v>4</v>
      </c>
      <c r="O8" t="s">
        <v>25</v>
      </c>
      <c r="P8" t="s">
        <v>51</v>
      </c>
      <c r="Q8" t="s">
        <v>35</v>
      </c>
      <c r="R8" t="s">
        <v>46</v>
      </c>
      <c r="S8" t="s">
        <v>29</v>
      </c>
    </row>
    <row r="9" spans="1:19" x14ac:dyDescent="0.3">
      <c r="A9">
        <v>8</v>
      </c>
      <c r="B9">
        <v>1505</v>
      </c>
      <c r="C9">
        <v>24</v>
      </c>
      <c r="D9" t="s">
        <v>30</v>
      </c>
      <c r="E9" t="s">
        <v>20</v>
      </c>
      <c r="F9" t="s">
        <v>48</v>
      </c>
      <c r="G9" t="s">
        <v>53</v>
      </c>
      <c r="H9" t="s">
        <v>49</v>
      </c>
      <c r="I9" t="s">
        <v>33</v>
      </c>
      <c r="J9">
        <v>598</v>
      </c>
      <c r="K9" t="s">
        <v>25</v>
      </c>
      <c r="L9">
        <v>51</v>
      </c>
      <c r="M9">
        <v>10</v>
      </c>
      <c r="N9">
        <v>2</v>
      </c>
      <c r="O9" t="s">
        <v>25</v>
      </c>
      <c r="P9" t="s">
        <v>42</v>
      </c>
      <c r="Q9" t="s">
        <v>43</v>
      </c>
      <c r="R9" t="s">
        <v>28</v>
      </c>
      <c r="S9" t="s">
        <v>25</v>
      </c>
    </row>
    <row r="10" spans="1:19" x14ac:dyDescent="0.3">
      <c r="A10">
        <v>9</v>
      </c>
      <c r="B10">
        <v>3157</v>
      </c>
      <c r="C10">
        <v>37</v>
      </c>
      <c r="D10" t="s">
        <v>30</v>
      </c>
      <c r="E10" t="s">
        <v>31</v>
      </c>
      <c r="F10" t="s">
        <v>21</v>
      </c>
      <c r="G10" t="s">
        <v>54</v>
      </c>
      <c r="H10" t="s">
        <v>40</v>
      </c>
      <c r="I10" t="s">
        <v>41</v>
      </c>
      <c r="J10">
        <v>469</v>
      </c>
      <c r="K10" t="s">
        <v>29</v>
      </c>
      <c r="L10">
        <v>29</v>
      </c>
      <c r="M10">
        <v>8</v>
      </c>
      <c r="N10">
        <v>3</v>
      </c>
      <c r="O10" t="s">
        <v>25</v>
      </c>
      <c r="P10" t="s">
        <v>26</v>
      </c>
      <c r="Q10" t="s">
        <v>43</v>
      </c>
      <c r="R10" t="s">
        <v>44</v>
      </c>
      <c r="S10" t="s">
        <v>29</v>
      </c>
    </row>
    <row r="11" spans="1:19" x14ac:dyDescent="0.3">
      <c r="A11">
        <v>10</v>
      </c>
      <c r="B11">
        <v>1704</v>
      </c>
      <c r="C11">
        <v>21</v>
      </c>
      <c r="D11" t="s">
        <v>19</v>
      </c>
      <c r="E11" t="s">
        <v>50</v>
      </c>
      <c r="F11" t="s">
        <v>48</v>
      </c>
      <c r="G11" t="s">
        <v>39</v>
      </c>
      <c r="H11" t="s">
        <v>23</v>
      </c>
      <c r="I11" t="s">
        <v>41</v>
      </c>
      <c r="J11">
        <v>549</v>
      </c>
      <c r="K11" t="s">
        <v>29</v>
      </c>
      <c r="L11">
        <v>51</v>
      </c>
      <c r="M11">
        <v>6</v>
      </c>
      <c r="N11">
        <v>2</v>
      </c>
      <c r="O11" t="s">
        <v>25</v>
      </c>
      <c r="P11" t="s">
        <v>34</v>
      </c>
      <c r="Q11" t="s">
        <v>43</v>
      </c>
      <c r="R11" t="s">
        <v>46</v>
      </c>
      <c r="S11" t="s">
        <v>25</v>
      </c>
    </row>
    <row r="12" spans="1:19" x14ac:dyDescent="0.3">
      <c r="A12">
        <v>11</v>
      </c>
      <c r="B12">
        <v>3729</v>
      </c>
      <c r="C12">
        <v>27</v>
      </c>
      <c r="D12" t="s">
        <v>30</v>
      </c>
      <c r="E12" t="s">
        <v>38</v>
      </c>
      <c r="F12" t="s">
        <v>21</v>
      </c>
      <c r="G12" t="s">
        <v>55</v>
      </c>
      <c r="H12" t="s">
        <v>45</v>
      </c>
      <c r="I12" t="s">
        <v>24</v>
      </c>
      <c r="J12">
        <v>857</v>
      </c>
      <c r="K12" t="s">
        <v>25</v>
      </c>
      <c r="L12">
        <v>34</v>
      </c>
      <c r="M12">
        <v>10</v>
      </c>
      <c r="N12">
        <v>1</v>
      </c>
      <c r="O12" t="s">
        <v>25</v>
      </c>
      <c r="P12" t="s">
        <v>34</v>
      </c>
      <c r="Q12" t="s">
        <v>43</v>
      </c>
      <c r="R12" t="s">
        <v>36</v>
      </c>
      <c r="S12" t="s">
        <v>25</v>
      </c>
    </row>
    <row r="13" spans="1:19" x14ac:dyDescent="0.3">
      <c r="A13">
        <v>12</v>
      </c>
      <c r="B13">
        <v>1058</v>
      </c>
      <c r="C13">
        <v>23</v>
      </c>
      <c r="D13" t="s">
        <v>52</v>
      </c>
      <c r="E13" t="s">
        <v>20</v>
      </c>
      <c r="F13" t="s">
        <v>21</v>
      </c>
      <c r="G13" t="s">
        <v>55</v>
      </c>
      <c r="H13" t="s">
        <v>45</v>
      </c>
      <c r="I13" t="s">
        <v>33</v>
      </c>
      <c r="J13">
        <v>982</v>
      </c>
      <c r="K13" t="s">
        <v>25</v>
      </c>
      <c r="L13">
        <v>60</v>
      </c>
      <c r="M13">
        <v>6</v>
      </c>
      <c r="N13">
        <v>5</v>
      </c>
      <c r="O13" t="s">
        <v>25</v>
      </c>
      <c r="P13" t="s">
        <v>42</v>
      </c>
      <c r="Q13" t="s">
        <v>27</v>
      </c>
      <c r="R13" t="s">
        <v>46</v>
      </c>
      <c r="S13" t="s">
        <v>29</v>
      </c>
    </row>
    <row r="14" spans="1:19" x14ac:dyDescent="0.3">
      <c r="A14">
        <v>13</v>
      </c>
      <c r="B14">
        <v>2432</v>
      </c>
      <c r="C14">
        <v>25</v>
      </c>
      <c r="D14" t="s">
        <v>30</v>
      </c>
      <c r="E14" t="s">
        <v>50</v>
      </c>
      <c r="F14" t="s">
        <v>48</v>
      </c>
      <c r="G14" t="s">
        <v>39</v>
      </c>
      <c r="H14" t="s">
        <v>40</v>
      </c>
      <c r="I14" t="s">
        <v>24</v>
      </c>
      <c r="J14">
        <v>319</v>
      </c>
      <c r="K14" t="s">
        <v>25</v>
      </c>
      <c r="L14">
        <v>20</v>
      </c>
      <c r="M14">
        <v>11</v>
      </c>
      <c r="N14">
        <v>3</v>
      </c>
      <c r="O14" t="s">
        <v>25</v>
      </c>
      <c r="P14" t="s">
        <v>51</v>
      </c>
      <c r="Q14" t="s">
        <v>27</v>
      </c>
      <c r="R14" t="s">
        <v>28</v>
      </c>
      <c r="S14" t="s">
        <v>25</v>
      </c>
    </row>
    <row r="15" spans="1:19" x14ac:dyDescent="0.3">
      <c r="A15">
        <v>14</v>
      </c>
      <c r="B15">
        <v>1428</v>
      </c>
      <c r="C15">
        <v>37</v>
      </c>
      <c r="D15" t="s">
        <v>47</v>
      </c>
      <c r="E15" t="s">
        <v>31</v>
      </c>
      <c r="F15" t="s">
        <v>48</v>
      </c>
      <c r="G15" t="s">
        <v>54</v>
      </c>
      <c r="H15" t="s">
        <v>49</v>
      </c>
      <c r="I15" t="s">
        <v>41</v>
      </c>
      <c r="J15">
        <v>439</v>
      </c>
      <c r="K15" t="s">
        <v>29</v>
      </c>
      <c r="L15">
        <v>62</v>
      </c>
      <c r="M15">
        <v>7</v>
      </c>
      <c r="N15">
        <v>3</v>
      </c>
      <c r="O15" t="s">
        <v>25</v>
      </c>
      <c r="P15" t="s">
        <v>34</v>
      </c>
      <c r="Q15" t="s">
        <v>35</v>
      </c>
      <c r="R15" t="s">
        <v>28</v>
      </c>
      <c r="S15" t="s">
        <v>25</v>
      </c>
    </row>
    <row r="16" spans="1:19" x14ac:dyDescent="0.3">
      <c r="A16">
        <v>15</v>
      </c>
      <c r="B16">
        <v>2465</v>
      </c>
      <c r="C16">
        <v>30</v>
      </c>
      <c r="D16" t="s">
        <v>56</v>
      </c>
      <c r="E16" t="s">
        <v>38</v>
      </c>
      <c r="F16" t="s">
        <v>48</v>
      </c>
      <c r="G16" t="s">
        <v>39</v>
      </c>
      <c r="H16" t="s">
        <v>23</v>
      </c>
      <c r="I16" t="s">
        <v>33</v>
      </c>
      <c r="J16">
        <v>470</v>
      </c>
      <c r="K16" t="s">
        <v>25</v>
      </c>
      <c r="L16">
        <v>42</v>
      </c>
      <c r="M16">
        <v>5</v>
      </c>
      <c r="N16">
        <v>5</v>
      </c>
      <c r="O16" t="s">
        <v>25</v>
      </c>
      <c r="P16" t="s">
        <v>42</v>
      </c>
      <c r="Q16" t="s">
        <v>27</v>
      </c>
      <c r="R16" t="s">
        <v>36</v>
      </c>
      <c r="S16" t="s">
        <v>25</v>
      </c>
    </row>
    <row r="17" spans="1:19" x14ac:dyDescent="0.3">
      <c r="A17">
        <v>16</v>
      </c>
      <c r="B17">
        <v>2060</v>
      </c>
      <c r="C17">
        <v>34</v>
      </c>
      <c r="D17" t="s">
        <v>47</v>
      </c>
      <c r="E17" t="s">
        <v>50</v>
      </c>
      <c r="F17" t="s">
        <v>21</v>
      </c>
      <c r="G17" t="s">
        <v>32</v>
      </c>
      <c r="H17" t="s">
        <v>23</v>
      </c>
      <c r="I17" t="s">
        <v>24</v>
      </c>
      <c r="J17">
        <v>465</v>
      </c>
      <c r="K17" t="s">
        <v>29</v>
      </c>
      <c r="L17">
        <v>20</v>
      </c>
      <c r="M17">
        <v>12</v>
      </c>
      <c r="N17">
        <v>4</v>
      </c>
      <c r="O17" t="s">
        <v>25</v>
      </c>
      <c r="P17" t="s">
        <v>42</v>
      </c>
      <c r="Q17" t="s">
        <v>27</v>
      </c>
      <c r="R17" t="s">
        <v>44</v>
      </c>
      <c r="S17" t="s">
        <v>29</v>
      </c>
    </row>
    <row r="18" spans="1:19" x14ac:dyDescent="0.3">
      <c r="A18">
        <v>17</v>
      </c>
      <c r="B18">
        <v>3892</v>
      </c>
      <c r="C18">
        <v>29</v>
      </c>
      <c r="D18" t="s">
        <v>47</v>
      </c>
      <c r="E18" t="s">
        <v>31</v>
      </c>
      <c r="F18" t="s">
        <v>21</v>
      </c>
      <c r="G18" t="s">
        <v>53</v>
      </c>
      <c r="H18" t="s">
        <v>23</v>
      </c>
      <c r="I18" t="s">
        <v>24</v>
      </c>
      <c r="J18">
        <v>644</v>
      </c>
      <c r="K18" t="s">
        <v>25</v>
      </c>
      <c r="L18">
        <v>62</v>
      </c>
      <c r="M18">
        <v>14</v>
      </c>
      <c r="N18">
        <v>1</v>
      </c>
      <c r="O18" t="s">
        <v>29</v>
      </c>
      <c r="P18" t="s">
        <v>34</v>
      </c>
      <c r="Q18" t="s">
        <v>35</v>
      </c>
      <c r="R18" t="s">
        <v>44</v>
      </c>
      <c r="S18" t="s">
        <v>29</v>
      </c>
    </row>
    <row r="19" spans="1:19" x14ac:dyDescent="0.3">
      <c r="A19">
        <v>18</v>
      </c>
      <c r="B19">
        <v>4600</v>
      </c>
      <c r="C19">
        <v>31</v>
      </c>
      <c r="D19" t="s">
        <v>52</v>
      </c>
      <c r="E19" t="s">
        <v>20</v>
      </c>
      <c r="F19" t="s">
        <v>21</v>
      </c>
      <c r="G19" t="s">
        <v>32</v>
      </c>
      <c r="H19" t="s">
        <v>45</v>
      </c>
      <c r="I19" t="s">
        <v>24</v>
      </c>
      <c r="J19">
        <v>310</v>
      </c>
      <c r="K19" t="s">
        <v>25</v>
      </c>
      <c r="L19">
        <v>29</v>
      </c>
      <c r="M19">
        <v>12</v>
      </c>
      <c r="N19">
        <v>2</v>
      </c>
      <c r="O19" t="s">
        <v>25</v>
      </c>
      <c r="P19" t="s">
        <v>51</v>
      </c>
      <c r="Q19" t="s">
        <v>35</v>
      </c>
      <c r="R19" t="s">
        <v>28</v>
      </c>
      <c r="S19" t="s">
        <v>25</v>
      </c>
    </row>
    <row r="20" spans="1:19" x14ac:dyDescent="0.3">
      <c r="A20">
        <v>19</v>
      </c>
      <c r="B20">
        <v>1747</v>
      </c>
      <c r="C20">
        <v>20</v>
      </c>
      <c r="D20" t="s">
        <v>30</v>
      </c>
      <c r="E20" t="s">
        <v>31</v>
      </c>
      <c r="F20" t="s">
        <v>48</v>
      </c>
      <c r="G20" t="s">
        <v>55</v>
      </c>
      <c r="H20" t="s">
        <v>40</v>
      </c>
      <c r="I20" t="s">
        <v>33</v>
      </c>
      <c r="J20">
        <v>547</v>
      </c>
      <c r="K20" t="s">
        <v>29</v>
      </c>
      <c r="L20">
        <v>87</v>
      </c>
      <c r="M20">
        <v>10</v>
      </c>
      <c r="N20">
        <v>5</v>
      </c>
      <c r="O20" t="s">
        <v>25</v>
      </c>
      <c r="P20" t="s">
        <v>34</v>
      </c>
      <c r="Q20" t="s">
        <v>35</v>
      </c>
      <c r="R20" t="s">
        <v>36</v>
      </c>
      <c r="S20" t="s">
        <v>25</v>
      </c>
    </row>
    <row r="21" spans="1:19" x14ac:dyDescent="0.3">
      <c r="A21">
        <v>20</v>
      </c>
      <c r="B21">
        <v>1619</v>
      </c>
      <c r="C21">
        <v>36</v>
      </c>
      <c r="D21" t="s">
        <v>30</v>
      </c>
      <c r="E21" t="s">
        <v>50</v>
      </c>
      <c r="F21" t="s">
        <v>21</v>
      </c>
      <c r="G21" t="s">
        <v>55</v>
      </c>
      <c r="H21" t="s">
        <v>23</v>
      </c>
      <c r="I21" t="s">
        <v>41</v>
      </c>
      <c r="J21">
        <v>117</v>
      </c>
      <c r="K21" t="s">
        <v>25</v>
      </c>
      <c r="L21">
        <v>62</v>
      </c>
      <c r="M21">
        <v>13</v>
      </c>
      <c r="N21">
        <v>5</v>
      </c>
      <c r="O21" t="s">
        <v>25</v>
      </c>
      <c r="P21" t="s">
        <v>42</v>
      </c>
      <c r="Q21" t="s">
        <v>35</v>
      </c>
      <c r="R21" t="s">
        <v>28</v>
      </c>
      <c r="S21" t="s">
        <v>25</v>
      </c>
    </row>
    <row r="22" spans="1:19" x14ac:dyDescent="0.3">
      <c r="A22">
        <v>21</v>
      </c>
      <c r="B22">
        <v>4797</v>
      </c>
      <c r="C22">
        <v>42</v>
      </c>
      <c r="D22" t="s">
        <v>37</v>
      </c>
      <c r="E22" t="s">
        <v>20</v>
      </c>
      <c r="F22" t="s">
        <v>48</v>
      </c>
      <c r="G22" t="s">
        <v>53</v>
      </c>
      <c r="H22" t="s">
        <v>40</v>
      </c>
      <c r="I22" t="s">
        <v>24</v>
      </c>
      <c r="J22">
        <v>832</v>
      </c>
      <c r="K22" t="s">
        <v>25</v>
      </c>
      <c r="L22">
        <v>68</v>
      </c>
      <c r="M22">
        <v>10</v>
      </c>
      <c r="N22">
        <v>4</v>
      </c>
      <c r="O22" t="s">
        <v>29</v>
      </c>
      <c r="P22" t="s">
        <v>51</v>
      </c>
      <c r="Q22" t="s">
        <v>27</v>
      </c>
      <c r="R22" t="s">
        <v>28</v>
      </c>
      <c r="S22" t="s">
        <v>25</v>
      </c>
    </row>
    <row r="23" spans="1:19" x14ac:dyDescent="0.3">
      <c r="A23">
        <v>22</v>
      </c>
      <c r="B23">
        <v>2030</v>
      </c>
      <c r="C23">
        <v>36</v>
      </c>
      <c r="D23" t="s">
        <v>30</v>
      </c>
      <c r="E23" t="s">
        <v>38</v>
      </c>
      <c r="F23" t="s">
        <v>21</v>
      </c>
      <c r="G23" t="s">
        <v>22</v>
      </c>
      <c r="H23" t="s">
        <v>45</v>
      </c>
      <c r="I23" t="s">
        <v>33</v>
      </c>
      <c r="J23">
        <v>641</v>
      </c>
      <c r="K23" t="s">
        <v>25</v>
      </c>
      <c r="L23">
        <v>55</v>
      </c>
      <c r="M23">
        <v>1</v>
      </c>
      <c r="N23">
        <v>5</v>
      </c>
      <c r="O23" t="s">
        <v>25</v>
      </c>
      <c r="P23" t="s">
        <v>34</v>
      </c>
      <c r="Q23" t="s">
        <v>35</v>
      </c>
      <c r="R23" t="s">
        <v>46</v>
      </c>
      <c r="S23" t="s">
        <v>29</v>
      </c>
    </row>
    <row r="24" spans="1:19" x14ac:dyDescent="0.3">
      <c r="A24">
        <v>23</v>
      </c>
      <c r="B24">
        <v>3537</v>
      </c>
      <c r="C24">
        <v>27</v>
      </c>
      <c r="D24" t="s">
        <v>19</v>
      </c>
      <c r="E24" t="s">
        <v>20</v>
      </c>
      <c r="F24" t="s">
        <v>21</v>
      </c>
      <c r="G24" t="s">
        <v>32</v>
      </c>
      <c r="H24" t="s">
        <v>45</v>
      </c>
      <c r="I24" t="s">
        <v>41</v>
      </c>
      <c r="J24">
        <v>100</v>
      </c>
      <c r="K24" t="s">
        <v>25</v>
      </c>
      <c r="L24">
        <v>44</v>
      </c>
      <c r="M24">
        <v>13</v>
      </c>
      <c r="N24">
        <v>4</v>
      </c>
      <c r="O24" t="s">
        <v>25</v>
      </c>
      <c r="P24" t="s">
        <v>26</v>
      </c>
      <c r="Q24" t="s">
        <v>35</v>
      </c>
      <c r="R24" t="s">
        <v>28</v>
      </c>
      <c r="S24" t="s">
        <v>25</v>
      </c>
    </row>
    <row r="25" spans="1:19" x14ac:dyDescent="0.3">
      <c r="A25">
        <v>24</v>
      </c>
      <c r="B25">
        <v>3026</v>
      </c>
      <c r="C25">
        <v>38</v>
      </c>
      <c r="D25" t="s">
        <v>52</v>
      </c>
      <c r="E25" t="s">
        <v>20</v>
      </c>
      <c r="F25" t="s">
        <v>48</v>
      </c>
      <c r="G25" t="s">
        <v>39</v>
      </c>
      <c r="H25" t="s">
        <v>40</v>
      </c>
      <c r="I25" t="s">
        <v>41</v>
      </c>
      <c r="J25">
        <v>704</v>
      </c>
      <c r="K25" t="s">
        <v>25</v>
      </c>
      <c r="L25">
        <v>31</v>
      </c>
      <c r="M25">
        <v>1</v>
      </c>
      <c r="N25">
        <v>4</v>
      </c>
      <c r="O25" t="s">
        <v>29</v>
      </c>
      <c r="P25" t="s">
        <v>26</v>
      </c>
      <c r="Q25" t="s">
        <v>43</v>
      </c>
      <c r="R25" t="s">
        <v>28</v>
      </c>
      <c r="S25" t="s">
        <v>29</v>
      </c>
    </row>
    <row r="26" spans="1:19" x14ac:dyDescent="0.3">
      <c r="A26">
        <v>25</v>
      </c>
      <c r="B26">
        <v>1542</v>
      </c>
      <c r="C26">
        <v>44</v>
      </c>
      <c r="D26" t="s">
        <v>30</v>
      </c>
      <c r="E26" t="s">
        <v>20</v>
      </c>
      <c r="F26" t="s">
        <v>48</v>
      </c>
      <c r="G26" t="s">
        <v>53</v>
      </c>
      <c r="H26" t="s">
        <v>40</v>
      </c>
      <c r="I26" t="s">
        <v>41</v>
      </c>
      <c r="J26">
        <v>591</v>
      </c>
      <c r="K26" t="s">
        <v>25</v>
      </c>
      <c r="L26">
        <v>79</v>
      </c>
      <c r="M26">
        <v>5</v>
      </c>
      <c r="N26">
        <v>5</v>
      </c>
      <c r="O26" t="s">
        <v>25</v>
      </c>
      <c r="P26" t="s">
        <v>34</v>
      </c>
      <c r="Q26" t="s">
        <v>35</v>
      </c>
      <c r="R26" t="s">
        <v>44</v>
      </c>
      <c r="S26" t="s">
        <v>29</v>
      </c>
    </row>
    <row r="27" spans="1:19" x14ac:dyDescent="0.3">
      <c r="A27">
        <v>26</v>
      </c>
      <c r="B27">
        <v>1501</v>
      </c>
      <c r="C27">
        <v>20</v>
      </c>
      <c r="D27" t="s">
        <v>47</v>
      </c>
      <c r="E27" t="s">
        <v>20</v>
      </c>
      <c r="F27" t="s">
        <v>21</v>
      </c>
      <c r="G27" t="s">
        <v>32</v>
      </c>
      <c r="H27" t="s">
        <v>40</v>
      </c>
      <c r="I27" t="s">
        <v>41</v>
      </c>
      <c r="J27">
        <v>607</v>
      </c>
      <c r="K27" t="s">
        <v>29</v>
      </c>
      <c r="L27">
        <v>26</v>
      </c>
      <c r="M27">
        <v>13</v>
      </c>
      <c r="N27">
        <v>3</v>
      </c>
      <c r="O27" t="s">
        <v>29</v>
      </c>
      <c r="P27" t="s">
        <v>34</v>
      </c>
      <c r="Q27" t="s">
        <v>35</v>
      </c>
      <c r="R27" t="s">
        <v>36</v>
      </c>
      <c r="S27" t="s">
        <v>25</v>
      </c>
    </row>
    <row r="28" spans="1:19" x14ac:dyDescent="0.3">
      <c r="A28">
        <v>27</v>
      </c>
      <c r="B28">
        <v>2684</v>
      </c>
      <c r="C28">
        <v>27</v>
      </c>
      <c r="D28" t="s">
        <v>30</v>
      </c>
      <c r="E28" t="s">
        <v>38</v>
      </c>
      <c r="F28" t="s">
        <v>48</v>
      </c>
      <c r="G28" t="s">
        <v>22</v>
      </c>
      <c r="H28" t="s">
        <v>40</v>
      </c>
      <c r="I28" t="s">
        <v>24</v>
      </c>
      <c r="J28">
        <v>498</v>
      </c>
      <c r="K28" t="s">
        <v>29</v>
      </c>
      <c r="L28">
        <v>98</v>
      </c>
      <c r="M28">
        <v>2</v>
      </c>
      <c r="N28">
        <v>4</v>
      </c>
      <c r="O28" t="s">
        <v>29</v>
      </c>
      <c r="P28" t="s">
        <v>34</v>
      </c>
      <c r="Q28" t="s">
        <v>35</v>
      </c>
      <c r="R28" t="s">
        <v>46</v>
      </c>
      <c r="S28" t="s">
        <v>25</v>
      </c>
    </row>
    <row r="29" spans="1:19" x14ac:dyDescent="0.3">
      <c r="A29">
        <v>28</v>
      </c>
      <c r="B29">
        <v>4203</v>
      </c>
      <c r="C29">
        <v>25</v>
      </c>
      <c r="D29" t="s">
        <v>19</v>
      </c>
      <c r="E29" t="s">
        <v>50</v>
      </c>
      <c r="F29" t="s">
        <v>21</v>
      </c>
      <c r="G29" t="s">
        <v>22</v>
      </c>
      <c r="H29" t="s">
        <v>49</v>
      </c>
      <c r="I29" t="s">
        <v>41</v>
      </c>
      <c r="J29">
        <v>777</v>
      </c>
      <c r="K29" t="s">
        <v>29</v>
      </c>
      <c r="L29">
        <v>20</v>
      </c>
      <c r="M29">
        <v>1</v>
      </c>
      <c r="N29">
        <v>2</v>
      </c>
      <c r="O29" t="s">
        <v>29</v>
      </c>
      <c r="P29" t="s">
        <v>26</v>
      </c>
      <c r="Q29" t="s">
        <v>27</v>
      </c>
      <c r="R29" t="s">
        <v>46</v>
      </c>
      <c r="S29" t="s">
        <v>29</v>
      </c>
    </row>
    <row r="30" spans="1:19" x14ac:dyDescent="0.3">
      <c r="A30">
        <v>29</v>
      </c>
      <c r="B30">
        <v>3245</v>
      </c>
      <c r="C30">
        <v>28</v>
      </c>
      <c r="D30" t="s">
        <v>37</v>
      </c>
      <c r="E30" t="s">
        <v>20</v>
      </c>
      <c r="F30" t="s">
        <v>21</v>
      </c>
      <c r="G30" t="s">
        <v>22</v>
      </c>
      <c r="H30" t="s">
        <v>40</v>
      </c>
      <c r="I30" t="s">
        <v>41</v>
      </c>
      <c r="J30">
        <v>427</v>
      </c>
      <c r="K30" t="s">
        <v>29</v>
      </c>
      <c r="L30">
        <v>31</v>
      </c>
      <c r="M30">
        <v>7</v>
      </c>
      <c r="N30">
        <v>3</v>
      </c>
      <c r="O30" t="s">
        <v>29</v>
      </c>
      <c r="P30" t="s">
        <v>26</v>
      </c>
      <c r="Q30" t="s">
        <v>43</v>
      </c>
      <c r="R30" t="s">
        <v>36</v>
      </c>
      <c r="S30" t="s">
        <v>29</v>
      </c>
    </row>
    <row r="31" spans="1:19" x14ac:dyDescent="0.3">
      <c r="A31">
        <v>30</v>
      </c>
      <c r="B31">
        <v>2329</v>
      </c>
      <c r="C31">
        <v>27</v>
      </c>
      <c r="D31" t="s">
        <v>52</v>
      </c>
      <c r="E31" t="s">
        <v>31</v>
      </c>
      <c r="F31" t="s">
        <v>21</v>
      </c>
      <c r="G31" t="s">
        <v>55</v>
      </c>
      <c r="H31" t="s">
        <v>45</v>
      </c>
      <c r="I31" t="s">
        <v>41</v>
      </c>
      <c r="J31">
        <v>241</v>
      </c>
      <c r="K31" t="s">
        <v>29</v>
      </c>
      <c r="L31">
        <v>55</v>
      </c>
      <c r="M31">
        <v>12</v>
      </c>
      <c r="N31">
        <v>1</v>
      </c>
      <c r="O31" t="s">
        <v>25</v>
      </c>
      <c r="P31" t="s">
        <v>34</v>
      </c>
      <c r="Q31" t="s">
        <v>43</v>
      </c>
      <c r="R31" t="s">
        <v>28</v>
      </c>
      <c r="S31" t="s">
        <v>29</v>
      </c>
    </row>
    <row r="32" spans="1:19" x14ac:dyDescent="0.3">
      <c r="A32">
        <v>31</v>
      </c>
      <c r="B32">
        <v>4832</v>
      </c>
      <c r="C32">
        <v>42</v>
      </c>
      <c r="D32" t="s">
        <v>30</v>
      </c>
      <c r="E32" t="s">
        <v>50</v>
      </c>
      <c r="F32" t="s">
        <v>48</v>
      </c>
      <c r="G32" t="s">
        <v>39</v>
      </c>
      <c r="H32" t="s">
        <v>45</v>
      </c>
      <c r="I32" t="s">
        <v>24</v>
      </c>
      <c r="J32">
        <v>844</v>
      </c>
      <c r="K32" t="s">
        <v>29</v>
      </c>
      <c r="L32">
        <v>78</v>
      </c>
      <c r="M32">
        <v>9</v>
      </c>
      <c r="N32">
        <v>5</v>
      </c>
      <c r="O32" t="s">
        <v>29</v>
      </c>
      <c r="P32" t="s">
        <v>34</v>
      </c>
      <c r="Q32" t="s">
        <v>43</v>
      </c>
      <c r="R32" t="s">
        <v>28</v>
      </c>
      <c r="S32" t="s">
        <v>29</v>
      </c>
    </row>
    <row r="33" spans="1:19" x14ac:dyDescent="0.3">
      <c r="A33">
        <v>32</v>
      </c>
      <c r="B33">
        <v>3450</v>
      </c>
      <c r="C33">
        <v>44</v>
      </c>
      <c r="D33" t="s">
        <v>52</v>
      </c>
      <c r="E33" t="s">
        <v>31</v>
      </c>
      <c r="F33" t="s">
        <v>48</v>
      </c>
      <c r="G33" t="s">
        <v>32</v>
      </c>
      <c r="H33" t="s">
        <v>23</v>
      </c>
      <c r="I33" t="s">
        <v>33</v>
      </c>
      <c r="J33">
        <v>141</v>
      </c>
      <c r="K33" t="s">
        <v>25</v>
      </c>
      <c r="L33">
        <v>36</v>
      </c>
      <c r="M33">
        <v>10</v>
      </c>
      <c r="N33">
        <v>1</v>
      </c>
      <c r="O33" t="s">
        <v>25</v>
      </c>
      <c r="P33" t="s">
        <v>26</v>
      </c>
      <c r="Q33" t="s">
        <v>27</v>
      </c>
      <c r="R33" t="s">
        <v>36</v>
      </c>
      <c r="S33" t="s">
        <v>29</v>
      </c>
    </row>
    <row r="34" spans="1:19" x14ac:dyDescent="0.3">
      <c r="A34">
        <v>33</v>
      </c>
      <c r="B34">
        <v>1575</v>
      </c>
      <c r="C34">
        <v>18</v>
      </c>
      <c r="D34" t="s">
        <v>52</v>
      </c>
      <c r="E34" t="s">
        <v>31</v>
      </c>
      <c r="F34" t="s">
        <v>21</v>
      </c>
      <c r="G34" t="s">
        <v>53</v>
      </c>
      <c r="H34" t="s">
        <v>45</v>
      </c>
      <c r="I34" t="s">
        <v>24</v>
      </c>
      <c r="J34">
        <v>476</v>
      </c>
      <c r="K34" t="s">
        <v>29</v>
      </c>
      <c r="L34">
        <v>99</v>
      </c>
      <c r="M34">
        <v>3</v>
      </c>
      <c r="N34">
        <v>1</v>
      </c>
      <c r="O34" t="s">
        <v>25</v>
      </c>
      <c r="P34" t="s">
        <v>26</v>
      </c>
      <c r="Q34" t="s">
        <v>27</v>
      </c>
      <c r="R34" t="s">
        <v>28</v>
      </c>
      <c r="S34" t="s">
        <v>25</v>
      </c>
    </row>
    <row r="35" spans="1:19" x14ac:dyDescent="0.3">
      <c r="A35">
        <v>34</v>
      </c>
      <c r="B35">
        <v>4000</v>
      </c>
      <c r="C35">
        <v>30</v>
      </c>
      <c r="D35" t="s">
        <v>52</v>
      </c>
      <c r="E35" t="s">
        <v>50</v>
      </c>
      <c r="F35" t="s">
        <v>48</v>
      </c>
      <c r="G35" t="s">
        <v>54</v>
      </c>
      <c r="H35" t="s">
        <v>23</v>
      </c>
      <c r="I35" t="s">
        <v>33</v>
      </c>
      <c r="J35">
        <v>690</v>
      </c>
      <c r="K35" t="s">
        <v>25</v>
      </c>
      <c r="L35">
        <v>24</v>
      </c>
      <c r="M35">
        <v>13</v>
      </c>
      <c r="N35">
        <v>4</v>
      </c>
      <c r="O35" t="s">
        <v>29</v>
      </c>
      <c r="P35" t="s">
        <v>51</v>
      </c>
      <c r="Q35" t="s">
        <v>35</v>
      </c>
      <c r="R35" t="s">
        <v>44</v>
      </c>
      <c r="S35" t="s">
        <v>29</v>
      </c>
    </row>
    <row r="36" spans="1:19" x14ac:dyDescent="0.3">
      <c r="A36">
        <v>35</v>
      </c>
      <c r="B36">
        <v>4046</v>
      </c>
      <c r="C36">
        <v>28</v>
      </c>
      <c r="D36" t="s">
        <v>37</v>
      </c>
      <c r="E36" t="s">
        <v>31</v>
      </c>
      <c r="F36" t="s">
        <v>21</v>
      </c>
      <c r="G36" t="s">
        <v>55</v>
      </c>
      <c r="H36" t="s">
        <v>49</v>
      </c>
      <c r="I36" t="s">
        <v>41</v>
      </c>
      <c r="J36">
        <v>187</v>
      </c>
      <c r="K36" t="s">
        <v>25</v>
      </c>
      <c r="L36">
        <v>99</v>
      </c>
      <c r="M36">
        <v>3</v>
      </c>
      <c r="N36">
        <v>4</v>
      </c>
      <c r="O36" t="s">
        <v>25</v>
      </c>
      <c r="P36" t="s">
        <v>51</v>
      </c>
      <c r="Q36" t="s">
        <v>35</v>
      </c>
      <c r="R36" t="s">
        <v>28</v>
      </c>
      <c r="S36" t="s">
        <v>25</v>
      </c>
    </row>
    <row r="37" spans="1:19" x14ac:dyDescent="0.3">
      <c r="A37">
        <v>36</v>
      </c>
      <c r="B37">
        <v>3284</v>
      </c>
      <c r="C37">
        <v>26</v>
      </c>
      <c r="D37" t="s">
        <v>47</v>
      </c>
      <c r="E37" t="s">
        <v>50</v>
      </c>
      <c r="F37" t="s">
        <v>48</v>
      </c>
      <c r="G37" t="s">
        <v>54</v>
      </c>
      <c r="H37" t="s">
        <v>49</v>
      </c>
      <c r="I37" t="s">
        <v>24</v>
      </c>
      <c r="J37">
        <v>478</v>
      </c>
      <c r="K37" t="s">
        <v>29</v>
      </c>
      <c r="L37">
        <v>87</v>
      </c>
      <c r="M37">
        <v>6</v>
      </c>
      <c r="N37">
        <v>5</v>
      </c>
      <c r="O37" t="s">
        <v>29</v>
      </c>
      <c r="P37" t="s">
        <v>42</v>
      </c>
      <c r="Q37" t="s">
        <v>27</v>
      </c>
      <c r="R37" t="s">
        <v>36</v>
      </c>
      <c r="S37" t="s">
        <v>25</v>
      </c>
    </row>
    <row r="38" spans="1:19" x14ac:dyDescent="0.3">
      <c r="A38">
        <v>37</v>
      </c>
      <c r="B38">
        <v>1231</v>
      </c>
      <c r="C38">
        <v>18</v>
      </c>
      <c r="D38" t="s">
        <v>47</v>
      </c>
      <c r="E38" t="s">
        <v>20</v>
      </c>
      <c r="F38" t="s">
        <v>21</v>
      </c>
      <c r="G38" t="s">
        <v>53</v>
      </c>
      <c r="H38" t="s">
        <v>40</v>
      </c>
      <c r="I38" t="s">
        <v>41</v>
      </c>
      <c r="J38">
        <v>643</v>
      </c>
      <c r="K38" t="s">
        <v>25</v>
      </c>
      <c r="L38">
        <v>68</v>
      </c>
      <c r="M38">
        <v>5</v>
      </c>
      <c r="N38">
        <v>1</v>
      </c>
      <c r="O38" t="s">
        <v>25</v>
      </c>
      <c r="P38" t="s">
        <v>51</v>
      </c>
      <c r="Q38" t="s">
        <v>27</v>
      </c>
      <c r="R38" t="s">
        <v>36</v>
      </c>
      <c r="S38" t="s">
        <v>29</v>
      </c>
    </row>
    <row r="39" spans="1:19" x14ac:dyDescent="0.3">
      <c r="A39">
        <v>38</v>
      </c>
      <c r="B39">
        <v>4018</v>
      </c>
      <c r="C39">
        <v>32</v>
      </c>
      <c r="D39" t="s">
        <v>37</v>
      </c>
      <c r="E39" t="s">
        <v>50</v>
      </c>
      <c r="F39" t="s">
        <v>21</v>
      </c>
      <c r="G39" t="s">
        <v>54</v>
      </c>
      <c r="H39" t="s">
        <v>40</v>
      </c>
      <c r="I39" t="s">
        <v>24</v>
      </c>
      <c r="J39">
        <v>838</v>
      </c>
      <c r="K39" t="s">
        <v>29</v>
      </c>
      <c r="L39">
        <v>73</v>
      </c>
      <c r="M39">
        <v>4</v>
      </c>
      <c r="N39">
        <v>3</v>
      </c>
      <c r="O39" t="s">
        <v>25</v>
      </c>
      <c r="P39" t="s">
        <v>34</v>
      </c>
      <c r="Q39" t="s">
        <v>27</v>
      </c>
      <c r="R39" t="s">
        <v>28</v>
      </c>
      <c r="S39" t="s">
        <v>29</v>
      </c>
    </row>
    <row r="40" spans="1:19" x14ac:dyDescent="0.3">
      <c r="A40">
        <v>39</v>
      </c>
      <c r="B40">
        <v>1729</v>
      </c>
      <c r="C40">
        <v>34</v>
      </c>
      <c r="D40" t="s">
        <v>19</v>
      </c>
      <c r="E40" t="s">
        <v>20</v>
      </c>
      <c r="F40" t="s">
        <v>21</v>
      </c>
      <c r="G40" t="s">
        <v>55</v>
      </c>
      <c r="H40" t="s">
        <v>45</v>
      </c>
      <c r="I40" t="s">
        <v>41</v>
      </c>
      <c r="J40">
        <v>297</v>
      </c>
      <c r="K40" t="s">
        <v>29</v>
      </c>
      <c r="L40">
        <v>62</v>
      </c>
      <c r="M40">
        <v>13</v>
      </c>
      <c r="N40">
        <v>4</v>
      </c>
      <c r="O40" t="s">
        <v>29</v>
      </c>
      <c r="P40" t="s">
        <v>26</v>
      </c>
      <c r="Q40" t="s">
        <v>35</v>
      </c>
      <c r="R40" t="s">
        <v>46</v>
      </c>
      <c r="S40" t="s">
        <v>25</v>
      </c>
    </row>
    <row r="41" spans="1:19" x14ac:dyDescent="0.3">
      <c r="A41">
        <v>40</v>
      </c>
      <c r="B41">
        <v>3433</v>
      </c>
      <c r="C41">
        <v>42</v>
      </c>
      <c r="D41" t="s">
        <v>52</v>
      </c>
      <c r="E41" t="s">
        <v>50</v>
      </c>
      <c r="F41" t="s">
        <v>21</v>
      </c>
      <c r="G41" t="s">
        <v>39</v>
      </c>
      <c r="H41" t="s">
        <v>40</v>
      </c>
      <c r="I41" t="s">
        <v>41</v>
      </c>
      <c r="J41">
        <v>365</v>
      </c>
      <c r="K41" t="s">
        <v>29</v>
      </c>
      <c r="L41">
        <v>20</v>
      </c>
      <c r="M41">
        <v>8</v>
      </c>
      <c r="N41">
        <v>1</v>
      </c>
      <c r="O41" t="s">
        <v>29</v>
      </c>
      <c r="P41" t="s">
        <v>51</v>
      </c>
      <c r="Q41" t="s">
        <v>27</v>
      </c>
      <c r="R41" t="s">
        <v>36</v>
      </c>
      <c r="S41" t="s">
        <v>25</v>
      </c>
    </row>
    <row r="42" spans="1:19" x14ac:dyDescent="0.3">
      <c r="A42">
        <v>41</v>
      </c>
      <c r="B42">
        <v>1391</v>
      </c>
      <c r="C42">
        <v>30</v>
      </c>
      <c r="D42" t="s">
        <v>30</v>
      </c>
      <c r="E42" t="s">
        <v>20</v>
      </c>
      <c r="F42" t="s">
        <v>48</v>
      </c>
      <c r="G42" t="s">
        <v>22</v>
      </c>
      <c r="H42" t="s">
        <v>23</v>
      </c>
      <c r="I42" t="s">
        <v>33</v>
      </c>
      <c r="J42">
        <v>700</v>
      </c>
      <c r="K42" t="s">
        <v>29</v>
      </c>
      <c r="L42">
        <v>54</v>
      </c>
      <c r="M42">
        <v>2</v>
      </c>
      <c r="N42">
        <v>4</v>
      </c>
      <c r="O42" t="s">
        <v>29</v>
      </c>
      <c r="P42" t="s">
        <v>34</v>
      </c>
      <c r="Q42" t="s">
        <v>35</v>
      </c>
      <c r="R42" t="s">
        <v>36</v>
      </c>
      <c r="S42" t="s">
        <v>25</v>
      </c>
    </row>
    <row r="43" spans="1:19" x14ac:dyDescent="0.3">
      <c r="A43">
        <v>42</v>
      </c>
      <c r="B43">
        <v>4908</v>
      </c>
      <c r="C43">
        <v>36</v>
      </c>
      <c r="D43" t="s">
        <v>37</v>
      </c>
      <c r="E43" t="s">
        <v>20</v>
      </c>
      <c r="F43" t="s">
        <v>48</v>
      </c>
      <c r="G43" t="s">
        <v>39</v>
      </c>
      <c r="H43" t="s">
        <v>23</v>
      </c>
      <c r="I43" t="s">
        <v>33</v>
      </c>
      <c r="J43">
        <v>653</v>
      </c>
      <c r="K43" t="s">
        <v>25</v>
      </c>
      <c r="L43">
        <v>82</v>
      </c>
      <c r="M43">
        <v>10</v>
      </c>
      <c r="N43">
        <v>4</v>
      </c>
      <c r="O43" t="s">
        <v>25</v>
      </c>
      <c r="P43" t="s">
        <v>34</v>
      </c>
      <c r="Q43" t="s">
        <v>35</v>
      </c>
      <c r="R43" t="s">
        <v>46</v>
      </c>
      <c r="S43" t="s">
        <v>29</v>
      </c>
    </row>
    <row r="44" spans="1:19" x14ac:dyDescent="0.3">
      <c r="A44">
        <v>43</v>
      </c>
      <c r="B44">
        <v>1809</v>
      </c>
      <c r="C44">
        <v>19</v>
      </c>
      <c r="D44" t="s">
        <v>19</v>
      </c>
      <c r="E44" t="s">
        <v>31</v>
      </c>
      <c r="F44" t="s">
        <v>21</v>
      </c>
      <c r="G44" t="s">
        <v>32</v>
      </c>
      <c r="H44" t="s">
        <v>45</v>
      </c>
      <c r="I44" t="s">
        <v>24</v>
      </c>
      <c r="J44">
        <v>959</v>
      </c>
      <c r="K44" t="s">
        <v>25</v>
      </c>
      <c r="L44">
        <v>56</v>
      </c>
      <c r="M44">
        <v>7</v>
      </c>
      <c r="N44">
        <v>2</v>
      </c>
      <c r="O44" t="s">
        <v>29</v>
      </c>
      <c r="P44" t="s">
        <v>26</v>
      </c>
      <c r="Q44" t="s">
        <v>27</v>
      </c>
      <c r="R44" t="s">
        <v>44</v>
      </c>
      <c r="S44" t="s">
        <v>25</v>
      </c>
    </row>
    <row r="45" spans="1:19" x14ac:dyDescent="0.3">
      <c r="A45">
        <v>44</v>
      </c>
      <c r="B45">
        <v>3344</v>
      </c>
      <c r="C45">
        <v>25</v>
      </c>
      <c r="D45" t="s">
        <v>56</v>
      </c>
      <c r="E45" t="s">
        <v>20</v>
      </c>
      <c r="F45" t="s">
        <v>21</v>
      </c>
      <c r="G45" t="s">
        <v>55</v>
      </c>
      <c r="H45" t="s">
        <v>45</v>
      </c>
      <c r="I45" t="s">
        <v>24</v>
      </c>
      <c r="J45">
        <v>364</v>
      </c>
      <c r="K45" t="s">
        <v>25</v>
      </c>
      <c r="L45">
        <v>47</v>
      </c>
      <c r="M45">
        <v>2</v>
      </c>
      <c r="N45">
        <v>4</v>
      </c>
      <c r="O45" t="s">
        <v>25</v>
      </c>
      <c r="P45" t="s">
        <v>42</v>
      </c>
      <c r="Q45" t="s">
        <v>27</v>
      </c>
      <c r="R45" t="s">
        <v>36</v>
      </c>
      <c r="S45" t="s">
        <v>25</v>
      </c>
    </row>
    <row r="46" spans="1:19" x14ac:dyDescent="0.3">
      <c r="A46">
        <v>45</v>
      </c>
      <c r="B46">
        <v>4687</v>
      </c>
      <c r="C46">
        <v>23</v>
      </c>
      <c r="D46" t="s">
        <v>52</v>
      </c>
      <c r="E46" t="s">
        <v>50</v>
      </c>
      <c r="F46" t="s">
        <v>21</v>
      </c>
      <c r="G46" t="s">
        <v>55</v>
      </c>
      <c r="H46" t="s">
        <v>45</v>
      </c>
      <c r="I46" t="s">
        <v>41</v>
      </c>
      <c r="J46">
        <v>355</v>
      </c>
      <c r="K46" t="s">
        <v>29</v>
      </c>
      <c r="L46">
        <v>39</v>
      </c>
      <c r="M46">
        <v>12</v>
      </c>
      <c r="N46">
        <v>5</v>
      </c>
      <c r="O46" t="s">
        <v>25</v>
      </c>
      <c r="P46" t="s">
        <v>42</v>
      </c>
      <c r="Q46" t="s">
        <v>43</v>
      </c>
      <c r="R46" t="s">
        <v>36</v>
      </c>
      <c r="S46" t="s">
        <v>25</v>
      </c>
    </row>
    <row r="47" spans="1:19" x14ac:dyDescent="0.3">
      <c r="A47">
        <v>46</v>
      </c>
      <c r="B47">
        <v>2454</v>
      </c>
      <c r="C47">
        <v>38</v>
      </c>
      <c r="D47" t="s">
        <v>19</v>
      </c>
      <c r="E47" t="s">
        <v>20</v>
      </c>
      <c r="F47" t="s">
        <v>21</v>
      </c>
      <c r="G47" t="s">
        <v>32</v>
      </c>
      <c r="H47" t="s">
        <v>23</v>
      </c>
      <c r="I47" t="s">
        <v>33</v>
      </c>
      <c r="J47">
        <v>807</v>
      </c>
      <c r="K47" t="s">
        <v>25</v>
      </c>
      <c r="L47">
        <v>37</v>
      </c>
      <c r="M47">
        <v>9</v>
      </c>
      <c r="N47">
        <v>1</v>
      </c>
      <c r="O47" t="s">
        <v>29</v>
      </c>
      <c r="P47" t="s">
        <v>34</v>
      </c>
      <c r="Q47" t="s">
        <v>35</v>
      </c>
      <c r="R47" t="s">
        <v>44</v>
      </c>
      <c r="S47" t="s">
        <v>29</v>
      </c>
    </row>
    <row r="48" spans="1:19" x14ac:dyDescent="0.3">
      <c r="A48">
        <v>47</v>
      </c>
      <c r="B48">
        <v>3011</v>
      </c>
      <c r="C48">
        <v>19</v>
      </c>
      <c r="D48" t="s">
        <v>52</v>
      </c>
      <c r="E48" t="s">
        <v>38</v>
      </c>
      <c r="F48" t="s">
        <v>48</v>
      </c>
      <c r="G48" t="s">
        <v>54</v>
      </c>
      <c r="H48" t="s">
        <v>23</v>
      </c>
      <c r="I48" t="s">
        <v>33</v>
      </c>
      <c r="J48">
        <v>149</v>
      </c>
      <c r="K48" t="s">
        <v>25</v>
      </c>
      <c r="L48">
        <v>62</v>
      </c>
      <c r="M48">
        <v>5</v>
      </c>
      <c r="N48">
        <v>5</v>
      </c>
      <c r="O48" t="s">
        <v>29</v>
      </c>
      <c r="P48" t="s">
        <v>34</v>
      </c>
      <c r="Q48" t="s">
        <v>27</v>
      </c>
      <c r="R48" t="s">
        <v>36</v>
      </c>
      <c r="S48" t="s">
        <v>25</v>
      </c>
    </row>
    <row r="49" spans="1:19" x14ac:dyDescent="0.3">
      <c r="A49">
        <v>48</v>
      </c>
      <c r="B49">
        <v>2967</v>
      </c>
      <c r="C49">
        <v>33</v>
      </c>
      <c r="D49" t="s">
        <v>19</v>
      </c>
      <c r="E49" t="s">
        <v>38</v>
      </c>
      <c r="F49" t="s">
        <v>21</v>
      </c>
      <c r="G49" t="s">
        <v>32</v>
      </c>
      <c r="H49" t="s">
        <v>45</v>
      </c>
      <c r="I49" t="s">
        <v>41</v>
      </c>
      <c r="J49">
        <v>888</v>
      </c>
      <c r="K49" t="s">
        <v>29</v>
      </c>
      <c r="L49">
        <v>46</v>
      </c>
      <c r="M49">
        <v>6</v>
      </c>
      <c r="N49">
        <v>2</v>
      </c>
      <c r="O49" t="s">
        <v>29</v>
      </c>
      <c r="P49" t="s">
        <v>51</v>
      </c>
      <c r="Q49" t="s">
        <v>27</v>
      </c>
      <c r="R49" t="s">
        <v>36</v>
      </c>
      <c r="S49" t="s">
        <v>29</v>
      </c>
    </row>
    <row r="50" spans="1:19" x14ac:dyDescent="0.3">
      <c r="A50">
        <v>49</v>
      </c>
      <c r="B50">
        <v>2905</v>
      </c>
      <c r="C50">
        <v>39</v>
      </c>
      <c r="D50" t="s">
        <v>19</v>
      </c>
      <c r="E50" t="s">
        <v>38</v>
      </c>
      <c r="F50" t="s">
        <v>48</v>
      </c>
      <c r="G50" t="s">
        <v>22</v>
      </c>
      <c r="H50" t="s">
        <v>45</v>
      </c>
      <c r="I50" t="s">
        <v>33</v>
      </c>
      <c r="J50">
        <v>937</v>
      </c>
      <c r="K50" t="s">
        <v>25</v>
      </c>
      <c r="L50">
        <v>83</v>
      </c>
      <c r="M50">
        <v>8</v>
      </c>
      <c r="N50">
        <v>3</v>
      </c>
      <c r="O50" t="s">
        <v>25</v>
      </c>
      <c r="P50" t="s">
        <v>51</v>
      </c>
      <c r="Q50" t="s">
        <v>27</v>
      </c>
      <c r="R50" t="s">
        <v>46</v>
      </c>
      <c r="S50" t="s">
        <v>29</v>
      </c>
    </row>
    <row r="51" spans="1:19" x14ac:dyDescent="0.3">
      <c r="A51">
        <v>50</v>
      </c>
      <c r="B51">
        <v>4030</v>
      </c>
      <c r="C51">
        <v>23</v>
      </c>
      <c r="D51" t="s">
        <v>47</v>
      </c>
      <c r="E51" t="s">
        <v>20</v>
      </c>
      <c r="F51" t="s">
        <v>48</v>
      </c>
      <c r="G51" t="s">
        <v>32</v>
      </c>
      <c r="H51" t="s">
        <v>49</v>
      </c>
      <c r="I51" t="s">
        <v>41</v>
      </c>
      <c r="J51">
        <v>272</v>
      </c>
      <c r="K51" t="s">
        <v>25</v>
      </c>
      <c r="L51">
        <v>41</v>
      </c>
      <c r="M51">
        <v>13</v>
      </c>
      <c r="N51">
        <v>2</v>
      </c>
      <c r="O51" t="s">
        <v>29</v>
      </c>
      <c r="P51" t="s">
        <v>42</v>
      </c>
      <c r="Q51" t="s">
        <v>43</v>
      </c>
      <c r="R51" t="s">
        <v>44</v>
      </c>
      <c r="S51" t="s">
        <v>25</v>
      </c>
    </row>
    <row r="52" spans="1:19" x14ac:dyDescent="0.3">
      <c r="A52">
        <v>51</v>
      </c>
      <c r="B52">
        <v>2863</v>
      </c>
      <c r="C52">
        <v>32</v>
      </c>
      <c r="D52" t="s">
        <v>47</v>
      </c>
      <c r="E52" t="s">
        <v>50</v>
      </c>
      <c r="F52" t="s">
        <v>21</v>
      </c>
      <c r="G52" t="s">
        <v>55</v>
      </c>
      <c r="H52" t="s">
        <v>23</v>
      </c>
      <c r="I52" t="s">
        <v>41</v>
      </c>
      <c r="J52">
        <v>193</v>
      </c>
      <c r="K52" t="s">
        <v>25</v>
      </c>
      <c r="L52">
        <v>50</v>
      </c>
      <c r="M52">
        <v>5</v>
      </c>
      <c r="N52">
        <v>2</v>
      </c>
      <c r="O52" t="s">
        <v>25</v>
      </c>
      <c r="P52" t="s">
        <v>42</v>
      </c>
      <c r="Q52" t="s">
        <v>43</v>
      </c>
      <c r="R52" t="s">
        <v>28</v>
      </c>
      <c r="S52" t="s">
        <v>29</v>
      </c>
    </row>
    <row r="53" spans="1:19" x14ac:dyDescent="0.3">
      <c r="A53">
        <v>52</v>
      </c>
      <c r="B53">
        <v>3874</v>
      </c>
      <c r="C53">
        <v>43</v>
      </c>
      <c r="D53" t="s">
        <v>37</v>
      </c>
      <c r="E53" t="s">
        <v>20</v>
      </c>
      <c r="F53" t="s">
        <v>48</v>
      </c>
      <c r="G53" t="s">
        <v>53</v>
      </c>
      <c r="H53" t="s">
        <v>40</v>
      </c>
      <c r="I53" t="s">
        <v>33</v>
      </c>
      <c r="J53">
        <v>943</v>
      </c>
      <c r="K53" t="s">
        <v>29</v>
      </c>
      <c r="L53">
        <v>24</v>
      </c>
      <c r="M53">
        <v>7</v>
      </c>
      <c r="N53">
        <v>1</v>
      </c>
      <c r="O53" t="s">
        <v>25</v>
      </c>
      <c r="P53" t="s">
        <v>26</v>
      </c>
      <c r="Q53" t="s">
        <v>35</v>
      </c>
      <c r="R53" t="s">
        <v>28</v>
      </c>
      <c r="S53" t="s">
        <v>29</v>
      </c>
    </row>
    <row r="54" spans="1:19" x14ac:dyDescent="0.3">
      <c r="A54">
        <v>53</v>
      </c>
      <c r="B54">
        <v>4559</v>
      </c>
      <c r="C54">
        <v>30</v>
      </c>
      <c r="D54" t="s">
        <v>52</v>
      </c>
      <c r="E54" t="s">
        <v>31</v>
      </c>
      <c r="F54" t="s">
        <v>21</v>
      </c>
      <c r="G54" t="s">
        <v>54</v>
      </c>
      <c r="H54" t="s">
        <v>23</v>
      </c>
      <c r="I54" t="s">
        <v>33</v>
      </c>
      <c r="J54">
        <v>479</v>
      </c>
      <c r="K54" t="s">
        <v>25</v>
      </c>
      <c r="L54">
        <v>82</v>
      </c>
      <c r="M54">
        <v>2</v>
      </c>
      <c r="N54">
        <v>2</v>
      </c>
      <c r="O54" t="s">
        <v>29</v>
      </c>
      <c r="P54" t="s">
        <v>34</v>
      </c>
      <c r="Q54" t="s">
        <v>43</v>
      </c>
      <c r="R54" t="s">
        <v>46</v>
      </c>
      <c r="S54" t="s">
        <v>29</v>
      </c>
    </row>
    <row r="55" spans="1:19" x14ac:dyDescent="0.3">
      <c r="A55">
        <v>54</v>
      </c>
      <c r="B55">
        <v>4142</v>
      </c>
      <c r="C55">
        <v>24</v>
      </c>
      <c r="D55" t="s">
        <v>19</v>
      </c>
      <c r="E55" t="s">
        <v>50</v>
      </c>
      <c r="F55" t="s">
        <v>48</v>
      </c>
      <c r="G55" t="s">
        <v>53</v>
      </c>
      <c r="H55" t="s">
        <v>23</v>
      </c>
      <c r="I55" t="s">
        <v>41</v>
      </c>
      <c r="J55">
        <v>514</v>
      </c>
      <c r="K55" t="s">
        <v>25</v>
      </c>
      <c r="L55">
        <v>96</v>
      </c>
      <c r="M55">
        <v>7</v>
      </c>
      <c r="N55">
        <v>3</v>
      </c>
      <c r="O55" t="s">
        <v>29</v>
      </c>
      <c r="P55" t="s">
        <v>26</v>
      </c>
      <c r="Q55" t="s">
        <v>35</v>
      </c>
      <c r="R55" t="s">
        <v>36</v>
      </c>
      <c r="S55" t="s">
        <v>29</v>
      </c>
    </row>
    <row r="56" spans="1:19" x14ac:dyDescent="0.3">
      <c r="A56">
        <v>55</v>
      </c>
      <c r="B56">
        <v>4378</v>
      </c>
      <c r="C56">
        <v>19</v>
      </c>
      <c r="D56" t="s">
        <v>52</v>
      </c>
      <c r="E56" t="s">
        <v>31</v>
      </c>
      <c r="F56" t="s">
        <v>21</v>
      </c>
      <c r="G56" t="s">
        <v>53</v>
      </c>
      <c r="H56" t="s">
        <v>49</v>
      </c>
      <c r="I56" t="s">
        <v>24</v>
      </c>
      <c r="J56">
        <v>578</v>
      </c>
      <c r="K56" t="s">
        <v>25</v>
      </c>
      <c r="L56">
        <v>95</v>
      </c>
      <c r="M56">
        <v>10</v>
      </c>
      <c r="N56">
        <v>4</v>
      </c>
      <c r="O56" t="s">
        <v>25</v>
      </c>
      <c r="P56" t="s">
        <v>34</v>
      </c>
      <c r="Q56" t="s">
        <v>35</v>
      </c>
      <c r="R56" t="s">
        <v>46</v>
      </c>
      <c r="S56" t="s">
        <v>29</v>
      </c>
    </row>
    <row r="57" spans="1:19" x14ac:dyDescent="0.3">
      <c r="A57">
        <v>56</v>
      </c>
      <c r="B57">
        <v>4163</v>
      </c>
      <c r="C57">
        <v>26</v>
      </c>
      <c r="D57" t="s">
        <v>47</v>
      </c>
      <c r="E57" t="s">
        <v>50</v>
      </c>
      <c r="F57" t="s">
        <v>21</v>
      </c>
      <c r="G57" t="s">
        <v>39</v>
      </c>
      <c r="H57" t="s">
        <v>40</v>
      </c>
      <c r="I57" t="s">
        <v>33</v>
      </c>
      <c r="J57">
        <v>164</v>
      </c>
      <c r="K57" t="s">
        <v>25</v>
      </c>
      <c r="L57">
        <v>90</v>
      </c>
      <c r="M57">
        <v>7</v>
      </c>
      <c r="N57">
        <v>4</v>
      </c>
      <c r="O57" t="s">
        <v>29</v>
      </c>
      <c r="P57" t="s">
        <v>51</v>
      </c>
      <c r="Q57" t="s">
        <v>35</v>
      </c>
      <c r="R57" t="s">
        <v>46</v>
      </c>
      <c r="S57" t="s">
        <v>25</v>
      </c>
    </row>
    <row r="58" spans="1:19" x14ac:dyDescent="0.3">
      <c r="A58">
        <v>57</v>
      </c>
      <c r="B58">
        <v>4277</v>
      </c>
      <c r="C58">
        <v>21</v>
      </c>
      <c r="D58" t="s">
        <v>52</v>
      </c>
      <c r="E58" t="s">
        <v>50</v>
      </c>
      <c r="F58" t="s">
        <v>21</v>
      </c>
      <c r="G58" t="s">
        <v>39</v>
      </c>
      <c r="H58" t="s">
        <v>45</v>
      </c>
      <c r="I58" t="s">
        <v>24</v>
      </c>
      <c r="J58">
        <v>490</v>
      </c>
      <c r="K58" t="s">
        <v>29</v>
      </c>
      <c r="L58">
        <v>42</v>
      </c>
      <c r="M58">
        <v>7</v>
      </c>
      <c r="N58">
        <v>5</v>
      </c>
      <c r="O58" t="s">
        <v>25</v>
      </c>
      <c r="P58" t="s">
        <v>51</v>
      </c>
      <c r="Q58" t="s">
        <v>43</v>
      </c>
      <c r="R58" t="s">
        <v>46</v>
      </c>
      <c r="S58" t="s">
        <v>29</v>
      </c>
    </row>
    <row r="59" spans="1:19" x14ac:dyDescent="0.3">
      <c r="A59">
        <v>58</v>
      </c>
      <c r="B59">
        <v>3725</v>
      </c>
      <c r="C59">
        <v>36</v>
      </c>
      <c r="D59" t="s">
        <v>47</v>
      </c>
      <c r="E59" t="s">
        <v>38</v>
      </c>
      <c r="F59" t="s">
        <v>21</v>
      </c>
      <c r="G59" t="s">
        <v>54</v>
      </c>
      <c r="H59" t="s">
        <v>40</v>
      </c>
      <c r="I59" t="s">
        <v>24</v>
      </c>
      <c r="J59">
        <v>401</v>
      </c>
      <c r="K59" t="s">
        <v>25</v>
      </c>
      <c r="L59">
        <v>37</v>
      </c>
      <c r="M59">
        <v>3</v>
      </c>
      <c r="N59">
        <v>1</v>
      </c>
      <c r="O59" t="s">
        <v>25</v>
      </c>
      <c r="P59" t="s">
        <v>26</v>
      </c>
      <c r="Q59" t="s">
        <v>35</v>
      </c>
      <c r="R59" t="s">
        <v>28</v>
      </c>
      <c r="S59" t="s">
        <v>29</v>
      </c>
    </row>
    <row r="60" spans="1:19" x14ac:dyDescent="0.3">
      <c r="A60">
        <v>59</v>
      </c>
      <c r="B60">
        <v>3301</v>
      </c>
      <c r="C60">
        <v>35</v>
      </c>
      <c r="D60" t="s">
        <v>52</v>
      </c>
      <c r="E60" t="s">
        <v>31</v>
      </c>
      <c r="F60" t="s">
        <v>21</v>
      </c>
      <c r="G60" t="s">
        <v>53</v>
      </c>
      <c r="H60" t="s">
        <v>23</v>
      </c>
      <c r="I60" t="s">
        <v>33</v>
      </c>
      <c r="J60">
        <v>314</v>
      </c>
      <c r="K60" t="s">
        <v>25</v>
      </c>
      <c r="L60">
        <v>28</v>
      </c>
      <c r="M60">
        <v>5</v>
      </c>
      <c r="N60">
        <v>1</v>
      </c>
      <c r="O60" t="s">
        <v>25</v>
      </c>
      <c r="P60" t="s">
        <v>34</v>
      </c>
      <c r="Q60" t="s">
        <v>27</v>
      </c>
      <c r="R60" t="s">
        <v>46</v>
      </c>
      <c r="S60" t="s">
        <v>29</v>
      </c>
    </row>
    <row r="61" spans="1:19" x14ac:dyDescent="0.3">
      <c r="A61">
        <v>60</v>
      </c>
      <c r="B61">
        <v>2808</v>
      </c>
      <c r="C61">
        <v>33</v>
      </c>
      <c r="D61" t="s">
        <v>30</v>
      </c>
      <c r="E61" t="s">
        <v>38</v>
      </c>
      <c r="F61" t="s">
        <v>21</v>
      </c>
      <c r="G61" t="s">
        <v>32</v>
      </c>
      <c r="H61" t="s">
        <v>49</v>
      </c>
      <c r="I61" t="s">
        <v>24</v>
      </c>
      <c r="J61">
        <v>240</v>
      </c>
      <c r="K61" t="s">
        <v>29</v>
      </c>
      <c r="L61">
        <v>85</v>
      </c>
      <c r="M61">
        <v>5</v>
      </c>
      <c r="N61">
        <v>2</v>
      </c>
      <c r="O61" t="s">
        <v>29</v>
      </c>
      <c r="P61" t="s">
        <v>34</v>
      </c>
      <c r="Q61" t="s">
        <v>43</v>
      </c>
      <c r="R61" t="s">
        <v>36</v>
      </c>
      <c r="S61" t="s">
        <v>29</v>
      </c>
    </row>
    <row r="62" spans="1:19" x14ac:dyDescent="0.3">
      <c r="A62">
        <v>61</v>
      </c>
      <c r="B62">
        <v>1436</v>
      </c>
      <c r="C62">
        <v>30</v>
      </c>
      <c r="D62" t="s">
        <v>56</v>
      </c>
      <c r="E62" t="s">
        <v>38</v>
      </c>
      <c r="F62" t="s">
        <v>21</v>
      </c>
      <c r="G62" t="s">
        <v>22</v>
      </c>
      <c r="H62" t="s">
        <v>49</v>
      </c>
      <c r="I62" t="s">
        <v>33</v>
      </c>
      <c r="J62">
        <v>368</v>
      </c>
      <c r="K62" t="s">
        <v>25</v>
      </c>
      <c r="L62">
        <v>31</v>
      </c>
      <c r="M62">
        <v>8</v>
      </c>
      <c r="N62">
        <v>3</v>
      </c>
      <c r="O62" t="s">
        <v>29</v>
      </c>
      <c r="P62" t="s">
        <v>42</v>
      </c>
      <c r="Q62" t="s">
        <v>43</v>
      </c>
      <c r="R62" t="s">
        <v>44</v>
      </c>
      <c r="S62" t="s">
        <v>25</v>
      </c>
    </row>
    <row r="63" spans="1:19" x14ac:dyDescent="0.3">
      <c r="A63">
        <v>62</v>
      </c>
      <c r="B63">
        <v>4586</v>
      </c>
      <c r="C63">
        <v>39</v>
      </c>
      <c r="D63" t="s">
        <v>37</v>
      </c>
      <c r="E63" t="s">
        <v>50</v>
      </c>
      <c r="F63" t="s">
        <v>21</v>
      </c>
      <c r="G63" t="s">
        <v>55</v>
      </c>
      <c r="H63" t="s">
        <v>40</v>
      </c>
      <c r="I63" t="s">
        <v>41</v>
      </c>
      <c r="J63">
        <v>799</v>
      </c>
      <c r="K63" t="s">
        <v>25</v>
      </c>
      <c r="L63">
        <v>28</v>
      </c>
      <c r="M63">
        <v>5</v>
      </c>
      <c r="N63">
        <v>1</v>
      </c>
      <c r="O63" t="s">
        <v>29</v>
      </c>
      <c r="P63" t="s">
        <v>34</v>
      </c>
      <c r="Q63" t="s">
        <v>27</v>
      </c>
      <c r="R63" t="s">
        <v>36</v>
      </c>
      <c r="S63" t="s">
        <v>25</v>
      </c>
    </row>
    <row r="64" spans="1:19" x14ac:dyDescent="0.3">
      <c r="A64">
        <v>63</v>
      </c>
      <c r="B64">
        <v>1517</v>
      </c>
      <c r="C64">
        <v>22</v>
      </c>
      <c r="D64" t="s">
        <v>47</v>
      </c>
      <c r="E64" t="s">
        <v>38</v>
      </c>
      <c r="F64" t="s">
        <v>48</v>
      </c>
      <c r="G64" t="s">
        <v>32</v>
      </c>
      <c r="H64" t="s">
        <v>49</v>
      </c>
      <c r="I64" t="s">
        <v>41</v>
      </c>
      <c r="J64">
        <v>708</v>
      </c>
      <c r="K64" t="s">
        <v>25</v>
      </c>
      <c r="L64">
        <v>22</v>
      </c>
      <c r="M64">
        <v>8</v>
      </c>
      <c r="N64">
        <v>5</v>
      </c>
      <c r="O64" t="s">
        <v>29</v>
      </c>
      <c r="P64" t="s">
        <v>26</v>
      </c>
      <c r="Q64" t="s">
        <v>35</v>
      </c>
      <c r="R64" t="s">
        <v>28</v>
      </c>
      <c r="S64" t="s">
        <v>25</v>
      </c>
    </row>
    <row r="65" spans="1:19" x14ac:dyDescent="0.3">
      <c r="A65">
        <v>64</v>
      </c>
      <c r="B65">
        <v>1117</v>
      </c>
      <c r="C65">
        <v>18</v>
      </c>
      <c r="D65" t="s">
        <v>19</v>
      </c>
      <c r="E65" t="s">
        <v>50</v>
      </c>
      <c r="F65" t="s">
        <v>21</v>
      </c>
      <c r="G65" t="s">
        <v>55</v>
      </c>
      <c r="H65" t="s">
        <v>23</v>
      </c>
      <c r="I65" t="s">
        <v>33</v>
      </c>
      <c r="J65">
        <v>757</v>
      </c>
      <c r="K65" t="s">
        <v>29</v>
      </c>
      <c r="L65">
        <v>91</v>
      </c>
      <c r="M65">
        <v>2</v>
      </c>
      <c r="N65">
        <v>1</v>
      </c>
      <c r="O65" t="s">
        <v>25</v>
      </c>
      <c r="P65" t="s">
        <v>42</v>
      </c>
      <c r="Q65" t="s">
        <v>27</v>
      </c>
      <c r="R65" t="s">
        <v>44</v>
      </c>
      <c r="S65" t="s">
        <v>29</v>
      </c>
    </row>
    <row r="66" spans="1:19" x14ac:dyDescent="0.3">
      <c r="A66">
        <v>65</v>
      </c>
      <c r="B66">
        <v>1562</v>
      </c>
      <c r="C66">
        <v>24</v>
      </c>
      <c r="D66" t="s">
        <v>37</v>
      </c>
      <c r="E66" t="s">
        <v>31</v>
      </c>
      <c r="F66" t="s">
        <v>21</v>
      </c>
      <c r="G66" t="s">
        <v>22</v>
      </c>
      <c r="H66" t="s">
        <v>45</v>
      </c>
      <c r="I66" t="s">
        <v>41</v>
      </c>
      <c r="J66">
        <v>266</v>
      </c>
      <c r="K66" t="s">
        <v>25</v>
      </c>
      <c r="L66">
        <v>44</v>
      </c>
      <c r="M66">
        <v>8</v>
      </c>
      <c r="N66">
        <v>3</v>
      </c>
      <c r="O66" t="s">
        <v>25</v>
      </c>
      <c r="P66" t="s">
        <v>42</v>
      </c>
      <c r="Q66" t="s">
        <v>35</v>
      </c>
      <c r="R66" t="s">
        <v>44</v>
      </c>
      <c r="S66" t="s">
        <v>29</v>
      </c>
    </row>
    <row r="67" spans="1:19" x14ac:dyDescent="0.3">
      <c r="A67">
        <v>66</v>
      </c>
      <c r="B67">
        <v>3387</v>
      </c>
      <c r="C67">
        <v>40</v>
      </c>
      <c r="D67" t="s">
        <v>37</v>
      </c>
      <c r="E67" t="s">
        <v>38</v>
      </c>
      <c r="F67" t="s">
        <v>21</v>
      </c>
      <c r="G67" t="s">
        <v>55</v>
      </c>
      <c r="H67" t="s">
        <v>23</v>
      </c>
      <c r="I67" t="s">
        <v>33</v>
      </c>
      <c r="J67">
        <v>422</v>
      </c>
      <c r="K67" t="s">
        <v>29</v>
      </c>
      <c r="L67">
        <v>87</v>
      </c>
      <c r="M67">
        <v>8</v>
      </c>
      <c r="N67">
        <v>1</v>
      </c>
      <c r="O67" t="s">
        <v>29</v>
      </c>
      <c r="P67" t="s">
        <v>51</v>
      </c>
      <c r="Q67" t="s">
        <v>43</v>
      </c>
      <c r="R67" t="s">
        <v>44</v>
      </c>
      <c r="S67" t="s">
        <v>29</v>
      </c>
    </row>
    <row r="68" spans="1:19" x14ac:dyDescent="0.3">
      <c r="A68">
        <v>67</v>
      </c>
      <c r="B68">
        <v>2538</v>
      </c>
      <c r="C68">
        <v>41</v>
      </c>
      <c r="D68" t="s">
        <v>19</v>
      </c>
      <c r="E68" t="s">
        <v>50</v>
      </c>
      <c r="F68" t="s">
        <v>21</v>
      </c>
      <c r="G68" t="s">
        <v>22</v>
      </c>
      <c r="H68" t="s">
        <v>45</v>
      </c>
      <c r="I68" t="s">
        <v>41</v>
      </c>
      <c r="J68">
        <v>127</v>
      </c>
      <c r="K68" t="s">
        <v>25</v>
      </c>
      <c r="L68">
        <v>61</v>
      </c>
      <c r="M68">
        <v>2</v>
      </c>
      <c r="N68">
        <v>1</v>
      </c>
      <c r="O68" t="s">
        <v>29</v>
      </c>
      <c r="P68" t="s">
        <v>42</v>
      </c>
      <c r="Q68" t="s">
        <v>27</v>
      </c>
      <c r="R68" t="s">
        <v>36</v>
      </c>
      <c r="S68" t="s">
        <v>25</v>
      </c>
    </row>
    <row r="69" spans="1:19" x14ac:dyDescent="0.3">
      <c r="A69">
        <v>68</v>
      </c>
      <c r="B69">
        <v>3702</v>
      </c>
      <c r="C69">
        <v>44</v>
      </c>
      <c r="D69" t="s">
        <v>19</v>
      </c>
      <c r="E69" t="s">
        <v>20</v>
      </c>
      <c r="F69" t="s">
        <v>21</v>
      </c>
      <c r="G69" t="s">
        <v>39</v>
      </c>
      <c r="H69" t="s">
        <v>23</v>
      </c>
      <c r="I69" t="s">
        <v>41</v>
      </c>
      <c r="J69">
        <v>241</v>
      </c>
      <c r="K69" t="s">
        <v>29</v>
      </c>
      <c r="L69">
        <v>26</v>
      </c>
      <c r="M69">
        <v>14</v>
      </c>
      <c r="N69">
        <v>4</v>
      </c>
      <c r="O69" t="s">
        <v>25</v>
      </c>
      <c r="P69" t="s">
        <v>26</v>
      </c>
      <c r="Q69" t="s">
        <v>27</v>
      </c>
      <c r="R69" t="s">
        <v>46</v>
      </c>
      <c r="S69" t="s">
        <v>25</v>
      </c>
    </row>
    <row r="70" spans="1:19" x14ac:dyDescent="0.3">
      <c r="A70">
        <v>69</v>
      </c>
      <c r="B70">
        <v>1854</v>
      </c>
      <c r="C70">
        <v>24</v>
      </c>
      <c r="D70" t="s">
        <v>56</v>
      </c>
      <c r="E70" t="s">
        <v>38</v>
      </c>
      <c r="F70" t="s">
        <v>21</v>
      </c>
      <c r="G70" t="s">
        <v>32</v>
      </c>
      <c r="H70" t="s">
        <v>23</v>
      </c>
      <c r="I70" t="s">
        <v>24</v>
      </c>
      <c r="J70">
        <v>863</v>
      </c>
      <c r="K70" t="s">
        <v>25</v>
      </c>
      <c r="L70">
        <v>85</v>
      </c>
      <c r="M70">
        <v>1</v>
      </c>
      <c r="N70">
        <v>1</v>
      </c>
      <c r="O70" t="s">
        <v>29</v>
      </c>
      <c r="P70" t="s">
        <v>26</v>
      </c>
      <c r="Q70" t="s">
        <v>35</v>
      </c>
      <c r="R70" t="s">
        <v>46</v>
      </c>
      <c r="S70" t="s">
        <v>29</v>
      </c>
    </row>
    <row r="71" spans="1:19" x14ac:dyDescent="0.3">
      <c r="A71">
        <v>70</v>
      </c>
      <c r="B71">
        <v>2886</v>
      </c>
      <c r="C71">
        <v>44</v>
      </c>
      <c r="D71" t="s">
        <v>30</v>
      </c>
      <c r="E71" t="s">
        <v>50</v>
      </c>
      <c r="F71" t="s">
        <v>21</v>
      </c>
      <c r="G71" t="s">
        <v>55</v>
      </c>
      <c r="H71" t="s">
        <v>23</v>
      </c>
      <c r="I71" t="s">
        <v>33</v>
      </c>
      <c r="J71">
        <v>778</v>
      </c>
      <c r="K71" t="s">
        <v>25</v>
      </c>
      <c r="L71">
        <v>60</v>
      </c>
      <c r="M71">
        <v>9</v>
      </c>
      <c r="N71">
        <v>4</v>
      </c>
      <c r="O71" t="s">
        <v>29</v>
      </c>
      <c r="P71" t="s">
        <v>34</v>
      </c>
      <c r="Q71" t="s">
        <v>43</v>
      </c>
      <c r="R71" t="s">
        <v>44</v>
      </c>
      <c r="S71" t="s">
        <v>29</v>
      </c>
    </row>
    <row r="72" spans="1:19" x14ac:dyDescent="0.3">
      <c r="A72">
        <v>71</v>
      </c>
      <c r="B72">
        <v>4823</v>
      </c>
      <c r="C72">
        <v>20</v>
      </c>
      <c r="D72" t="s">
        <v>56</v>
      </c>
      <c r="E72" t="s">
        <v>31</v>
      </c>
      <c r="F72" t="s">
        <v>48</v>
      </c>
      <c r="G72" t="s">
        <v>32</v>
      </c>
      <c r="H72" t="s">
        <v>23</v>
      </c>
      <c r="I72" t="s">
        <v>33</v>
      </c>
      <c r="J72">
        <v>196</v>
      </c>
      <c r="K72" t="s">
        <v>25</v>
      </c>
      <c r="L72">
        <v>37</v>
      </c>
      <c r="M72">
        <v>3</v>
      </c>
      <c r="N72">
        <v>1</v>
      </c>
      <c r="O72" t="s">
        <v>25</v>
      </c>
      <c r="P72" t="s">
        <v>51</v>
      </c>
      <c r="Q72" t="s">
        <v>35</v>
      </c>
      <c r="R72" t="s">
        <v>36</v>
      </c>
      <c r="S72" t="s">
        <v>25</v>
      </c>
    </row>
    <row r="73" spans="1:19" x14ac:dyDescent="0.3">
      <c r="A73">
        <v>72</v>
      </c>
      <c r="B73">
        <v>3912</v>
      </c>
      <c r="C73">
        <v>28</v>
      </c>
      <c r="D73" t="s">
        <v>37</v>
      </c>
      <c r="E73" t="s">
        <v>38</v>
      </c>
      <c r="F73" t="s">
        <v>48</v>
      </c>
      <c r="G73" t="s">
        <v>22</v>
      </c>
      <c r="H73" t="s">
        <v>45</v>
      </c>
      <c r="I73" t="s">
        <v>24</v>
      </c>
      <c r="J73">
        <v>174</v>
      </c>
      <c r="K73" t="s">
        <v>29</v>
      </c>
      <c r="L73">
        <v>53</v>
      </c>
      <c r="M73">
        <v>9</v>
      </c>
      <c r="N73">
        <v>2</v>
      </c>
      <c r="O73" t="s">
        <v>29</v>
      </c>
      <c r="P73" t="s">
        <v>26</v>
      </c>
      <c r="Q73" t="s">
        <v>27</v>
      </c>
      <c r="R73" t="s">
        <v>36</v>
      </c>
      <c r="S73" t="s">
        <v>25</v>
      </c>
    </row>
    <row r="74" spans="1:19" x14ac:dyDescent="0.3">
      <c r="A74">
        <v>73</v>
      </c>
      <c r="B74">
        <v>1731</v>
      </c>
      <c r="C74">
        <v>30</v>
      </c>
      <c r="D74" t="s">
        <v>30</v>
      </c>
      <c r="E74" t="s">
        <v>20</v>
      </c>
      <c r="F74" t="s">
        <v>48</v>
      </c>
      <c r="G74" t="s">
        <v>22</v>
      </c>
      <c r="H74" t="s">
        <v>40</v>
      </c>
      <c r="I74" t="s">
        <v>24</v>
      </c>
      <c r="J74">
        <v>558</v>
      </c>
      <c r="K74" t="s">
        <v>25</v>
      </c>
      <c r="L74">
        <v>55</v>
      </c>
      <c r="M74">
        <v>13</v>
      </c>
      <c r="N74">
        <v>4</v>
      </c>
      <c r="O74" t="s">
        <v>29</v>
      </c>
      <c r="P74" t="s">
        <v>26</v>
      </c>
      <c r="Q74" t="s">
        <v>27</v>
      </c>
      <c r="R74" t="s">
        <v>28</v>
      </c>
      <c r="S74" t="s">
        <v>29</v>
      </c>
    </row>
    <row r="75" spans="1:19" x14ac:dyDescent="0.3">
      <c r="A75">
        <v>74</v>
      </c>
      <c r="B75">
        <v>1514</v>
      </c>
      <c r="C75">
        <v>20</v>
      </c>
      <c r="D75" t="s">
        <v>19</v>
      </c>
      <c r="E75" t="s">
        <v>31</v>
      </c>
      <c r="F75" t="s">
        <v>21</v>
      </c>
      <c r="G75" t="s">
        <v>54</v>
      </c>
      <c r="H75" t="s">
        <v>45</v>
      </c>
      <c r="I75" t="s">
        <v>24</v>
      </c>
      <c r="J75">
        <v>706</v>
      </c>
      <c r="K75" t="s">
        <v>25</v>
      </c>
      <c r="L75">
        <v>29</v>
      </c>
      <c r="M75">
        <v>8</v>
      </c>
      <c r="N75">
        <v>4</v>
      </c>
      <c r="O75" t="s">
        <v>29</v>
      </c>
      <c r="P75" t="s">
        <v>34</v>
      </c>
      <c r="Q75" t="s">
        <v>43</v>
      </c>
      <c r="R75" t="s">
        <v>36</v>
      </c>
      <c r="S75" t="s">
        <v>29</v>
      </c>
    </row>
    <row r="76" spans="1:19" x14ac:dyDescent="0.3">
      <c r="A76">
        <v>75</v>
      </c>
      <c r="B76">
        <v>1605</v>
      </c>
      <c r="C76">
        <v>41</v>
      </c>
      <c r="D76" t="s">
        <v>37</v>
      </c>
      <c r="E76" t="s">
        <v>50</v>
      </c>
      <c r="F76" t="s">
        <v>21</v>
      </c>
      <c r="G76" t="s">
        <v>55</v>
      </c>
      <c r="H76" t="s">
        <v>49</v>
      </c>
      <c r="I76" t="s">
        <v>41</v>
      </c>
      <c r="J76">
        <v>439</v>
      </c>
      <c r="K76" t="s">
        <v>25</v>
      </c>
      <c r="L76">
        <v>35</v>
      </c>
      <c r="M76">
        <v>14</v>
      </c>
      <c r="N76">
        <v>1</v>
      </c>
      <c r="O76" t="s">
        <v>29</v>
      </c>
      <c r="P76" t="s">
        <v>42</v>
      </c>
      <c r="Q76" t="s">
        <v>35</v>
      </c>
      <c r="R76" t="s">
        <v>28</v>
      </c>
      <c r="S76" t="s">
        <v>29</v>
      </c>
    </row>
    <row r="77" spans="1:19" x14ac:dyDescent="0.3">
      <c r="A77">
        <v>76</v>
      </c>
      <c r="B77">
        <v>1622</v>
      </c>
      <c r="C77">
        <v>32</v>
      </c>
      <c r="D77" t="s">
        <v>30</v>
      </c>
      <c r="E77" t="s">
        <v>31</v>
      </c>
      <c r="F77" t="s">
        <v>48</v>
      </c>
      <c r="G77" t="s">
        <v>55</v>
      </c>
      <c r="H77" t="s">
        <v>23</v>
      </c>
      <c r="I77" t="s">
        <v>33</v>
      </c>
      <c r="J77">
        <v>239</v>
      </c>
      <c r="K77" t="s">
        <v>25</v>
      </c>
      <c r="L77">
        <v>91</v>
      </c>
      <c r="M77">
        <v>3</v>
      </c>
      <c r="N77">
        <v>2</v>
      </c>
      <c r="O77" t="s">
        <v>25</v>
      </c>
      <c r="P77" t="s">
        <v>42</v>
      </c>
      <c r="Q77" t="s">
        <v>43</v>
      </c>
      <c r="R77" t="s">
        <v>46</v>
      </c>
      <c r="S77" t="s">
        <v>29</v>
      </c>
    </row>
    <row r="78" spans="1:19" x14ac:dyDescent="0.3">
      <c r="A78">
        <v>77</v>
      </c>
      <c r="B78">
        <v>2224</v>
      </c>
      <c r="C78">
        <v>22</v>
      </c>
      <c r="D78" t="s">
        <v>47</v>
      </c>
      <c r="E78" t="s">
        <v>31</v>
      </c>
      <c r="F78" t="s">
        <v>48</v>
      </c>
      <c r="G78" t="s">
        <v>55</v>
      </c>
      <c r="H78" t="s">
        <v>23</v>
      </c>
      <c r="I78" t="s">
        <v>24</v>
      </c>
      <c r="J78">
        <v>401</v>
      </c>
      <c r="K78" t="s">
        <v>25</v>
      </c>
      <c r="L78">
        <v>54</v>
      </c>
      <c r="M78">
        <v>13</v>
      </c>
      <c r="N78">
        <v>4</v>
      </c>
      <c r="O78" t="s">
        <v>25</v>
      </c>
      <c r="P78" t="s">
        <v>26</v>
      </c>
      <c r="Q78" t="s">
        <v>35</v>
      </c>
      <c r="R78" t="s">
        <v>46</v>
      </c>
      <c r="S78" t="s">
        <v>29</v>
      </c>
    </row>
    <row r="79" spans="1:19" x14ac:dyDescent="0.3">
      <c r="A79">
        <v>78</v>
      </c>
      <c r="B79">
        <v>4268</v>
      </c>
      <c r="C79">
        <v>25</v>
      </c>
      <c r="D79" t="s">
        <v>52</v>
      </c>
      <c r="E79" t="s">
        <v>20</v>
      </c>
      <c r="F79" t="s">
        <v>21</v>
      </c>
      <c r="G79" t="s">
        <v>55</v>
      </c>
      <c r="H79" t="s">
        <v>49</v>
      </c>
      <c r="I79" t="s">
        <v>41</v>
      </c>
      <c r="J79">
        <v>844</v>
      </c>
      <c r="K79" t="s">
        <v>29</v>
      </c>
      <c r="L79">
        <v>31</v>
      </c>
      <c r="M79">
        <v>5</v>
      </c>
      <c r="N79">
        <v>1</v>
      </c>
      <c r="O79" t="s">
        <v>25</v>
      </c>
      <c r="P79" t="s">
        <v>51</v>
      </c>
      <c r="Q79" t="s">
        <v>35</v>
      </c>
      <c r="R79" t="s">
        <v>44</v>
      </c>
      <c r="S79" t="s">
        <v>25</v>
      </c>
    </row>
    <row r="80" spans="1:19" x14ac:dyDescent="0.3">
      <c r="A80">
        <v>79</v>
      </c>
      <c r="B80">
        <v>2239</v>
      </c>
      <c r="C80">
        <v>36</v>
      </c>
      <c r="D80" t="s">
        <v>52</v>
      </c>
      <c r="E80" t="s">
        <v>31</v>
      </c>
      <c r="F80" t="s">
        <v>21</v>
      </c>
      <c r="G80" t="s">
        <v>53</v>
      </c>
      <c r="H80" t="s">
        <v>45</v>
      </c>
      <c r="I80" t="s">
        <v>41</v>
      </c>
      <c r="J80">
        <v>489</v>
      </c>
      <c r="K80" t="s">
        <v>29</v>
      </c>
      <c r="L80">
        <v>76</v>
      </c>
      <c r="M80">
        <v>8</v>
      </c>
      <c r="N80">
        <v>4</v>
      </c>
      <c r="O80" t="s">
        <v>25</v>
      </c>
      <c r="P80" t="s">
        <v>51</v>
      </c>
      <c r="Q80" t="s">
        <v>43</v>
      </c>
      <c r="R80" t="s">
        <v>46</v>
      </c>
      <c r="S80" t="s">
        <v>25</v>
      </c>
    </row>
    <row r="81" spans="1:19" x14ac:dyDescent="0.3">
      <c r="A81">
        <v>80</v>
      </c>
      <c r="B81">
        <v>4750</v>
      </c>
      <c r="C81">
        <v>39</v>
      </c>
      <c r="D81" t="s">
        <v>37</v>
      </c>
      <c r="E81" t="s">
        <v>20</v>
      </c>
      <c r="F81" t="s">
        <v>48</v>
      </c>
      <c r="G81" t="s">
        <v>55</v>
      </c>
      <c r="H81" t="s">
        <v>45</v>
      </c>
      <c r="I81" t="s">
        <v>24</v>
      </c>
      <c r="J81">
        <v>792</v>
      </c>
      <c r="K81" t="s">
        <v>29</v>
      </c>
      <c r="L81">
        <v>27</v>
      </c>
      <c r="M81">
        <v>4</v>
      </c>
      <c r="N81">
        <v>4</v>
      </c>
      <c r="O81" t="s">
        <v>29</v>
      </c>
      <c r="P81" t="s">
        <v>42</v>
      </c>
      <c r="Q81" t="s">
        <v>43</v>
      </c>
      <c r="R81" t="s">
        <v>46</v>
      </c>
      <c r="S81" t="s">
        <v>29</v>
      </c>
    </row>
    <row r="82" spans="1:19" x14ac:dyDescent="0.3">
      <c r="A82">
        <v>81</v>
      </c>
      <c r="B82">
        <v>2660</v>
      </c>
      <c r="C82">
        <v>20</v>
      </c>
      <c r="D82" t="s">
        <v>47</v>
      </c>
      <c r="E82" t="s">
        <v>50</v>
      </c>
      <c r="F82" t="s">
        <v>21</v>
      </c>
      <c r="G82" t="s">
        <v>32</v>
      </c>
      <c r="H82" t="s">
        <v>40</v>
      </c>
      <c r="I82" t="s">
        <v>41</v>
      </c>
      <c r="J82">
        <v>260</v>
      </c>
      <c r="K82" t="s">
        <v>29</v>
      </c>
      <c r="L82">
        <v>76</v>
      </c>
      <c r="M82">
        <v>5</v>
      </c>
      <c r="N82">
        <v>4</v>
      </c>
      <c r="O82" t="s">
        <v>25</v>
      </c>
      <c r="P82" t="s">
        <v>51</v>
      </c>
      <c r="Q82" t="s">
        <v>27</v>
      </c>
      <c r="R82" t="s">
        <v>28</v>
      </c>
      <c r="S82" t="s">
        <v>29</v>
      </c>
    </row>
    <row r="83" spans="1:19" x14ac:dyDescent="0.3">
      <c r="A83">
        <v>82</v>
      </c>
      <c r="B83">
        <v>4644</v>
      </c>
      <c r="C83">
        <v>22</v>
      </c>
      <c r="D83" t="s">
        <v>52</v>
      </c>
      <c r="E83" t="s">
        <v>50</v>
      </c>
      <c r="F83" t="s">
        <v>48</v>
      </c>
      <c r="G83" t="s">
        <v>39</v>
      </c>
      <c r="H83" t="s">
        <v>40</v>
      </c>
      <c r="I83" t="s">
        <v>24</v>
      </c>
      <c r="J83">
        <v>652</v>
      </c>
      <c r="K83" t="s">
        <v>25</v>
      </c>
      <c r="L83">
        <v>95</v>
      </c>
      <c r="M83">
        <v>5</v>
      </c>
      <c r="N83">
        <v>1</v>
      </c>
      <c r="O83" t="s">
        <v>25</v>
      </c>
      <c r="P83" t="s">
        <v>26</v>
      </c>
      <c r="Q83" t="s">
        <v>27</v>
      </c>
      <c r="R83" t="s">
        <v>36</v>
      </c>
      <c r="S83" t="s">
        <v>25</v>
      </c>
    </row>
    <row r="84" spans="1:19" x14ac:dyDescent="0.3">
      <c r="A84">
        <v>83</v>
      </c>
      <c r="B84">
        <v>2201</v>
      </c>
      <c r="C84">
        <v>19</v>
      </c>
      <c r="D84" t="s">
        <v>47</v>
      </c>
      <c r="E84" t="s">
        <v>31</v>
      </c>
      <c r="F84" t="s">
        <v>48</v>
      </c>
      <c r="G84" t="s">
        <v>55</v>
      </c>
      <c r="H84" t="s">
        <v>23</v>
      </c>
      <c r="I84" t="s">
        <v>24</v>
      </c>
      <c r="J84">
        <v>808</v>
      </c>
      <c r="K84" t="s">
        <v>29</v>
      </c>
      <c r="L84">
        <v>25</v>
      </c>
      <c r="M84">
        <v>11</v>
      </c>
      <c r="N84">
        <v>5</v>
      </c>
      <c r="O84" t="s">
        <v>25</v>
      </c>
      <c r="P84" t="s">
        <v>26</v>
      </c>
      <c r="Q84" t="s">
        <v>35</v>
      </c>
      <c r="R84" t="s">
        <v>44</v>
      </c>
      <c r="S84" t="s">
        <v>29</v>
      </c>
    </row>
    <row r="85" spans="1:19" x14ac:dyDescent="0.3">
      <c r="A85">
        <v>84</v>
      </c>
      <c r="B85">
        <v>3829</v>
      </c>
      <c r="C85">
        <v>36</v>
      </c>
      <c r="D85" t="s">
        <v>37</v>
      </c>
      <c r="E85" t="s">
        <v>20</v>
      </c>
      <c r="F85" t="s">
        <v>48</v>
      </c>
      <c r="G85" t="s">
        <v>53</v>
      </c>
      <c r="H85" t="s">
        <v>45</v>
      </c>
      <c r="I85" t="s">
        <v>24</v>
      </c>
      <c r="J85">
        <v>349</v>
      </c>
      <c r="K85" t="s">
        <v>25</v>
      </c>
      <c r="L85">
        <v>53</v>
      </c>
      <c r="M85">
        <v>13</v>
      </c>
      <c r="N85">
        <v>1</v>
      </c>
      <c r="O85" t="s">
        <v>29</v>
      </c>
      <c r="P85" t="s">
        <v>26</v>
      </c>
      <c r="Q85" t="s">
        <v>27</v>
      </c>
      <c r="R85" t="s">
        <v>44</v>
      </c>
      <c r="S85" t="s">
        <v>25</v>
      </c>
    </row>
    <row r="86" spans="1:19" x14ac:dyDescent="0.3">
      <c r="A86">
        <v>85</v>
      </c>
      <c r="B86">
        <v>3146</v>
      </c>
      <c r="C86">
        <v>33</v>
      </c>
      <c r="D86" t="s">
        <v>47</v>
      </c>
      <c r="E86" t="s">
        <v>38</v>
      </c>
      <c r="F86" t="s">
        <v>48</v>
      </c>
      <c r="G86" t="s">
        <v>32</v>
      </c>
      <c r="H86" t="s">
        <v>49</v>
      </c>
      <c r="I86" t="s">
        <v>33</v>
      </c>
      <c r="J86">
        <v>161</v>
      </c>
      <c r="K86" t="s">
        <v>25</v>
      </c>
      <c r="L86">
        <v>49</v>
      </c>
      <c r="M86">
        <v>9</v>
      </c>
      <c r="N86">
        <v>4</v>
      </c>
      <c r="O86" t="s">
        <v>29</v>
      </c>
      <c r="P86" t="s">
        <v>51</v>
      </c>
      <c r="Q86" t="s">
        <v>43</v>
      </c>
      <c r="R86" t="s">
        <v>46</v>
      </c>
      <c r="S86" t="s">
        <v>25</v>
      </c>
    </row>
    <row r="87" spans="1:19" x14ac:dyDescent="0.3">
      <c r="A87">
        <v>86</v>
      </c>
      <c r="B87">
        <v>3141</v>
      </c>
      <c r="C87">
        <v>26</v>
      </c>
      <c r="D87" t="s">
        <v>30</v>
      </c>
      <c r="E87" t="s">
        <v>20</v>
      </c>
      <c r="F87" t="s">
        <v>21</v>
      </c>
      <c r="G87" t="s">
        <v>22</v>
      </c>
      <c r="H87" t="s">
        <v>23</v>
      </c>
      <c r="I87" t="s">
        <v>24</v>
      </c>
      <c r="J87">
        <v>753</v>
      </c>
      <c r="K87" t="s">
        <v>25</v>
      </c>
      <c r="L87">
        <v>51</v>
      </c>
      <c r="M87">
        <v>4</v>
      </c>
      <c r="N87">
        <v>5</v>
      </c>
      <c r="O87" t="s">
        <v>25</v>
      </c>
      <c r="P87" t="s">
        <v>26</v>
      </c>
      <c r="Q87" t="s">
        <v>43</v>
      </c>
      <c r="R87" t="s">
        <v>44</v>
      </c>
      <c r="S87" t="s">
        <v>25</v>
      </c>
    </row>
    <row r="88" spans="1:19" x14ac:dyDescent="0.3">
      <c r="A88">
        <v>87</v>
      </c>
      <c r="B88">
        <v>1282</v>
      </c>
      <c r="C88">
        <v>30</v>
      </c>
      <c r="D88" t="s">
        <v>37</v>
      </c>
      <c r="E88" t="s">
        <v>20</v>
      </c>
      <c r="F88" t="s">
        <v>48</v>
      </c>
      <c r="G88" t="s">
        <v>53</v>
      </c>
      <c r="H88" t="s">
        <v>23</v>
      </c>
      <c r="I88" t="s">
        <v>41</v>
      </c>
      <c r="J88">
        <v>645</v>
      </c>
      <c r="K88" t="s">
        <v>25</v>
      </c>
      <c r="L88">
        <v>93</v>
      </c>
      <c r="M88">
        <v>14</v>
      </c>
      <c r="N88">
        <v>4</v>
      </c>
      <c r="O88" t="s">
        <v>29</v>
      </c>
      <c r="P88" t="s">
        <v>51</v>
      </c>
      <c r="Q88" t="s">
        <v>35</v>
      </c>
      <c r="R88" t="s">
        <v>44</v>
      </c>
      <c r="S88" t="s">
        <v>25</v>
      </c>
    </row>
    <row r="89" spans="1:19" x14ac:dyDescent="0.3">
      <c r="A89">
        <v>88</v>
      </c>
      <c r="B89">
        <v>4424</v>
      </c>
      <c r="C89">
        <v>23</v>
      </c>
      <c r="D89" t="s">
        <v>47</v>
      </c>
      <c r="E89" t="s">
        <v>31</v>
      </c>
      <c r="F89" t="s">
        <v>21</v>
      </c>
      <c r="G89" t="s">
        <v>39</v>
      </c>
      <c r="H89" t="s">
        <v>23</v>
      </c>
      <c r="I89" t="s">
        <v>24</v>
      </c>
      <c r="J89">
        <v>378</v>
      </c>
      <c r="K89" t="s">
        <v>25</v>
      </c>
      <c r="L89">
        <v>24</v>
      </c>
      <c r="M89">
        <v>5</v>
      </c>
      <c r="N89">
        <v>4</v>
      </c>
      <c r="O89" t="s">
        <v>29</v>
      </c>
      <c r="P89" t="s">
        <v>42</v>
      </c>
      <c r="Q89" t="s">
        <v>43</v>
      </c>
      <c r="R89" t="s">
        <v>44</v>
      </c>
      <c r="S89" t="s">
        <v>25</v>
      </c>
    </row>
    <row r="90" spans="1:19" x14ac:dyDescent="0.3">
      <c r="A90">
        <v>89</v>
      </c>
      <c r="B90">
        <v>4667</v>
      </c>
      <c r="C90">
        <v>33</v>
      </c>
      <c r="D90" t="s">
        <v>47</v>
      </c>
      <c r="E90" t="s">
        <v>50</v>
      </c>
      <c r="F90" t="s">
        <v>48</v>
      </c>
      <c r="G90" t="s">
        <v>53</v>
      </c>
      <c r="H90" t="s">
        <v>23</v>
      </c>
      <c r="I90" t="s">
        <v>24</v>
      </c>
      <c r="J90">
        <v>238</v>
      </c>
      <c r="K90" t="s">
        <v>25</v>
      </c>
      <c r="L90">
        <v>80</v>
      </c>
      <c r="M90">
        <v>9</v>
      </c>
      <c r="N90">
        <v>3</v>
      </c>
      <c r="O90" t="s">
        <v>25</v>
      </c>
      <c r="P90" t="s">
        <v>34</v>
      </c>
      <c r="Q90" t="s">
        <v>27</v>
      </c>
      <c r="R90" t="s">
        <v>46</v>
      </c>
      <c r="S90" t="s">
        <v>25</v>
      </c>
    </row>
    <row r="91" spans="1:19" x14ac:dyDescent="0.3">
      <c r="A91">
        <v>90</v>
      </c>
      <c r="B91">
        <v>1422</v>
      </c>
      <c r="C91">
        <v>21</v>
      </c>
      <c r="D91" t="s">
        <v>30</v>
      </c>
      <c r="E91" t="s">
        <v>50</v>
      </c>
      <c r="F91" t="s">
        <v>48</v>
      </c>
      <c r="G91" t="s">
        <v>53</v>
      </c>
      <c r="H91" t="s">
        <v>49</v>
      </c>
      <c r="I91" t="s">
        <v>41</v>
      </c>
      <c r="J91">
        <v>941</v>
      </c>
      <c r="K91" t="s">
        <v>25</v>
      </c>
      <c r="L91">
        <v>75</v>
      </c>
      <c r="M91">
        <v>7</v>
      </c>
      <c r="N91">
        <v>2</v>
      </c>
      <c r="O91" t="s">
        <v>25</v>
      </c>
      <c r="P91" t="s">
        <v>51</v>
      </c>
      <c r="Q91" t="s">
        <v>27</v>
      </c>
      <c r="R91" t="s">
        <v>46</v>
      </c>
      <c r="S91" t="s">
        <v>25</v>
      </c>
    </row>
    <row r="92" spans="1:19" x14ac:dyDescent="0.3">
      <c r="A92">
        <v>91</v>
      </c>
      <c r="B92">
        <v>2156</v>
      </c>
      <c r="C92">
        <v>23</v>
      </c>
      <c r="D92" t="s">
        <v>47</v>
      </c>
      <c r="E92" t="s">
        <v>38</v>
      </c>
      <c r="F92" t="s">
        <v>21</v>
      </c>
      <c r="G92" t="s">
        <v>54</v>
      </c>
      <c r="H92" t="s">
        <v>49</v>
      </c>
      <c r="I92" t="s">
        <v>41</v>
      </c>
      <c r="J92">
        <v>893</v>
      </c>
      <c r="K92" t="s">
        <v>29</v>
      </c>
      <c r="L92">
        <v>56</v>
      </c>
      <c r="M92">
        <v>3</v>
      </c>
      <c r="N92">
        <v>3</v>
      </c>
      <c r="O92" t="s">
        <v>29</v>
      </c>
      <c r="P92" t="s">
        <v>34</v>
      </c>
      <c r="Q92" t="s">
        <v>27</v>
      </c>
      <c r="R92" t="s">
        <v>44</v>
      </c>
      <c r="S92" t="s">
        <v>29</v>
      </c>
    </row>
    <row r="93" spans="1:19" x14ac:dyDescent="0.3">
      <c r="A93">
        <v>92</v>
      </c>
      <c r="B93">
        <v>4642</v>
      </c>
      <c r="C93">
        <v>35</v>
      </c>
      <c r="D93" t="s">
        <v>37</v>
      </c>
      <c r="E93" t="s">
        <v>50</v>
      </c>
      <c r="F93" t="s">
        <v>21</v>
      </c>
      <c r="G93" t="s">
        <v>39</v>
      </c>
      <c r="H93" t="s">
        <v>23</v>
      </c>
      <c r="I93" t="s">
        <v>24</v>
      </c>
      <c r="J93">
        <v>302</v>
      </c>
      <c r="K93" t="s">
        <v>29</v>
      </c>
      <c r="L93">
        <v>68</v>
      </c>
      <c r="M93">
        <v>13</v>
      </c>
      <c r="N93">
        <v>4</v>
      </c>
      <c r="O93" t="s">
        <v>29</v>
      </c>
      <c r="P93" t="s">
        <v>42</v>
      </c>
      <c r="Q93" t="s">
        <v>43</v>
      </c>
      <c r="R93" t="s">
        <v>28</v>
      </c>
      <c r="S93" t="s">
        <v>25</v>
      </c>
    </row>
    <row r="94" spans="1:19" x14ac:dyDescent="0.3">
      <c r="A94">
        <v>93</v>
      </c>
      <c r="B94">
        <v>4306</v>
      </c>
      <c r="C94">
        <v>41</v>
      </c>
      <c r="D94" t="s">
        <v>19</v>
      </c>
      <c r="E94" t="s">
        <v>50</v>
      </c>
      <c r="F94" t="s">
        <v>21</v>
      </c>
      <c r="G94" t="s">
        <v>22</v>
      </c>
      <c r="H94" t="s">
        <v>45</v>
      </c>
      <c r="I94" t="s">
        <v>41</v>
      </c>
      <c r="J94">
        <v>902</v>
      </c>
      <c r="K94" t="s">
        <v>29</v>
      </c>
      <c r="L94">
        <v>53</v>
      </c>
      <c r="M94">
        <v>12</v>
      </c>
      <c r="N94">
        <v>2</v>
      </c>
      <c r="O94" t="s">
        <v>25</v>
      </c>
      <c r="P94" t="s">
        <v>34</v>
      </c>
      <c r="Q94" t="s">
        <v>43</v>
      </c>
      <c r="R94" t="s">
        <v>44</v>
      </c>
      <c r="S94" t="s">
        <v>25</v>
      </c>
    </row>
    <row r="95" spans="1:19" x14ac:dyDescent="0.3">
      <c r="A95">
        <v>94</v>
      </c>
      <c r="B95">
        <v>1729</v>
      </c>
      <c r="C95">
        <v>40</v>
      </c>
      <c r="D95" t="s">
        <v>30</v>
      </c>
      <c r="E95" t="s">
        <v>31</v>
      </c>
      <c r="F95" t="s">
        <v>21</v>
      </c>
      <c r="G95" t="s">
        <v>22</v>
      </c>
      <c r="H95" t="s">
        <v>45</v>
      </c>
      <c r="I95" t="s">
        <v>24</v>
      </c>
      <c r="J95">
        <v>765</v>
      </c>
      <c r="K95" t="s">
        <v>29</v>
      </c>
      <c r="L95">
        <v>84</v>
      </c>
      <c r="M95">
        <v>9</v>
      </c>
      <c r="N95">
        <v>4</v>
      </c>
      <c r="O95" t="s">
        <v>25</v>
      </c>
      <c r="P95" t="s">
        <v>34</v>
      </c>
      <c r="Q95" t="s">
        <v>43</v>
      </c>
      <c r="R95" t="s">
        <v>46</v>
      </c>
      <c r="S95" t="s">
        <v>29</v>
      </c>
    </row>
    <row r="96" spans="1:19" x14ac:dyDescent="0.3">
      <c r="A96">
        <v>95</v>
      </c>
      <c r="B96">
        <v>4410</v>
      </c>
      <c r="C96">
        <v>32</v>
      </c>
      <c r="D96" t="s">
        <v>30</v>
      </c>
      <c r="E96" t="s">
        <v>20</v>
      </c>
      <c r="F96" t="s">
        <v>48</v>
      </c>
      <c r="G96" t="s">
        <v>22</v>
      </c>
      <c r="H96" t="s">
        <v>40</v>
      </c>
      <c r="I96" t="s">
        <v>33</v>
      </c>
      <c r="J96">
        <v>193</v>
      </c>
      <c r="K96" t="s">
        <v>29</v>
      </c>
      <c r="L96">
        <v>85</v>
      </c>
      <c r="M96">
        <v>6</v>
      </c>
      <c r="N96">
        <v>4</v>
      </c>
      <c r="O96" t="s">
        <v>25</v>
      </c>
      <c r="P96" t="s">
        <v>34</v>
      </c>
      <c r="Q96" t="s">
        <v>43</v>
      </c>
      <c r="R96" t="s">
        <v>46</v>
      </c>
      <c r="S96" t="s">
        <v>25</v>
      </c>
    </row>
    <row r="97" spans="1:19" x14ac:dyDescent="0.3">
      <c r="A97">
        <v>96</v>
      </c>
      <c r="B97">
        <v>1385</v>
      </c>
      <c r="C97">
        <v>35</v>
      </c>
      <c r="D97" t="s">
        <v>52</v>
      </c>
      <c r="E97" t="s">
        <v>50</v>
      </c>
      <c r="F97" t="s">
        <v>21</v>
      </c>
      <c r="G97" t="s">
        <v>32</v>
      </c>
      <c r="H97" t="s">
        <v>45</v>
      </c>
      <c r="I97" t="s">
        <v>33</v>
      </c>
      <c r="J97">
        <v>254</v>
      </c>
      <c r="K97" t="s">
        <v>25</v>
      </c>
      <c r="L97">
        <v>23</v>
      </c>
      <c r="M97">
        <v>9</v>
      </c>
      <c r="N97">
        <v>2</v>
      </c>
      <c r="O97" t="s">
        <v>25</v>
      </c>
      <c r="P97" t="s">
        <v>26</v>
      </c>
      <c r="Q97" t="s">
        <v>35</v>
      </c>
      <c r="R97" t="s">
        <v>46</v>
      </c>
      <c r="S97" t="s">
        <v>25</v>
      </c>
    </row>
    <row r="98" spans="1:19" x14ac:dyDescent="0.3">
      <c r="A98">
        <v>97</v>
      </c>
      <c r="B98">
        <v>1600</v>
      </c>
      <c r="C98">
        <v>25</v>
      </c>
      <c r="D98" t="s">
        <v>52</v>
      </c>
      <c r="E98" t="s">
        <v>50</v>
      </c>
      <c r="F98" t="s">
        <v>48</v>
      </c>
      <c r="G98" t="s">
        <v>22</v>
      </c>
      <c r="H98" t="s">
        <v>49</v>
      </c>
      <c r="I98" t="s">
        <v>24</v>
      </c>
      <c r="J98">
        <v>345</v>
      </c>
      <c r="K98" t="s">
        <v>25</v>
      </c>
      <c r="L98">
        <v>42</v>
      </c>
      <c r="M98">
        <v>10</v>
      </c>
      <c r="N98">
        <v>3</v>
      </c>
      <c r="O98" t="s">
        <v>25</v>
      </c>
      <c r="P98" t="s">
        <v>51</v>
      </c>
      <c r="Q98" t="s">
        <v>27</v>
      </c>
      <c r="R98" t="s">
        <v>46</v>
      </c>
      <c r="S98" t="s">
        <v>25</v>
      </c>
    </row>
    <row r="99" spans="1:19" x14ac:dyDescent="0.3">
      <c r="A99">
        <v>98</v>
      </c>
      <c r="B99">
        <v>3870</v>
      </c>
      <c r="C99">
        <v>40</v>
      </c>
      <c r="D99" t="s">
        <v>56</v>
      </c>
      <c r="E99" t="s">
        <v>31</v>
      </c>
      <c r="F99" t="s">
        <v>48</v>
      </c>
      <c r="G99" t="s">
        <v>32</v>
      </c>
      <c r="H99" t="s">
        <v>45</v>
      </c>
      <c r="I99" t="s">
        <v>24</v>
      </c>
      <c r="J99">
        <v>673</v>
      </c>
      <c r="K99" t="s">
        <v>25</v>
      </c>
      <c r="L99">
        <v>20</v>
      </c>
      <c r="M99">
        <v>11</v>
      </c>
      <c r="N99">
        <v>1</v>
      </c>
      <c r="O99" t="s">
        <v>25</v>
      </c>
      <c r="P99" t="s">
        <v>34</v>
      </c>
      <c r="Q99" t="s">
        <v>35</v>
      </c>
      <c r="R99" t="s">
        <v>36</v>
      </c>
      <c r="S99" t="s">
        <v>29</v>
      </c>
    </row>
    <row r="100" spans="1:19" x14ac:dyDescent="0.3">
      <c r="A100">
        <v>99</v>
      </c>
      <c r="B100">
        <v>4486</v>
      </c>
      <c r="C100">
        <v>19</v>
      </c>
      <c r="D100" t="s">
        <v>52</v>
      </c>
      <c r="E100" t="s">
        <v>20</v>
      </c>
      <c r="F100" t="s">
        <v>21</v>
      </c>
      <c r="G100" t="s">
        <v>32</v>
      </c>
      <c r="H100" t="s">
        <v>49</v>
      </c>
      <c r="I100" t="s">
        <v>41</v>
      </c>
      <c r="J100">
        <v>486</v>
      </c>
      <c r="K100" t="s">
        <v>29</v>
      </c>
      <c r="L100">
        <v>65</v>
      </c>
      <c r="M100">
        <v>2</v>
      </c>
      <c r="N100">
        <v>1</v>
      </c>
      <c r="O100" t="s">
        <v>29</v>
      </c>
      <c r="P100" t="s">
        <v>26</v>
      </c>
      <c r="Q100" t="s">
        <v>43</v>
      </c>
      <c r="R100" t="s">
        <v>36</v>
      </c>
      <c r="S100" t="s">
        <v>29</v>
      </c>
    </row>
    <row r="101" spans="1:19" x14ac:dyDescent="0.3">
      <c r="A101">
        <v>100</v>
      </c>
      <c r="B101">
        <v>2903</v>
      </c>
      <c r="C101">
        <v>22</v>
      </c>
      <c r="D101" t="s">
        <v>19</v>
      </c>
      <c r="E101" t="s">
        <v>50</v>
      </c>
      <c r="F101" t="s">
        <v>48</v>
      </c>
      <c r="G101" t="s">
        <v>32</v>
      </c>
      <c r="H101" t="s">
        <v>40</v>
      </c>
      <c r="I101" t="s">
        <v>24</v>
      </c>
      <c r="J101">
        <v>183</v>
      </c>
      <c r="K101" t="s">
        <v>25</v>
      </c>
      <c r="L101">
        <v>99</v>
      </c>
      <c r="M101">
        <v>8</v>
      </c>
      <c r="N101">
        <v>4</v>
      </c>
      <c r="O101" t="s">
        <v>29</v>
      </c>
      <c r="P101" t="s">
        <v>42</v>
      </c>
      <c r="Q101" t="s">
        <v>27</v>
      </c>
      <c r="R101" t="s">
        <v>36</v>
      </c>
      <c r="S101" t="s">
        <v>29</v>
      </c>
    </row>
    <row r="102" spans="1:19" x14ac:dyDescent="0.3">
      <c r="A102">
        <v>101</v>
      </c>
      <c r="B102">
        <v>3236</v>
      </c>
      <c r="C102">
        <v>38</v>
      </c>
      <c r="D102" t="s">
        <v>30</v>
      </c>
      <c r="E102" t="s">
        <v>20</v>
      </c>
      <c r="F102" t="s">
        <v>21</v>
      </c>
      <c r="G102" t="s">
        <v>32</v>
      </c>
      <c r="H102" t="s">
        <v>45</v>
      </c>
      <c r="I102" t="s">
        <v>41</v>
      </c>
      <c r="J102">
        <v>375</v>
      </c>
      <c r="K102" t="s">
        <v>29</v>
      </c>
      <c r="L102">
        <v>63</v>
      </c>
      <c r="M102">
        <v>11</v>
      </c>
      <c r="N102">
        <v>4</v>
      </c>
      <c r="O102" t="s">
        <v>25</v>
      </c>
      <c r="P102" t="s">
        <v>26</v>
      </c>
      <c r="Q102" t="s">
        <v>27</v>
      </c>
      <c r="R102" t="s">
        <v>44</v>
      </c>
      <c r="S102" t="s">
        <v>29</v>
      </c>
    </row>
    <row r="103" spans="1:19" x14ac:dyDescent="0.3">
      <c r="A103">
        <v>102</v>
      </c>
      <c r="B103">
        <v>3592</v>
      </c>
      <c r="C103">
        <v>39</v>
      </c>
      <c r="D103" t="s">
        <v>47</v>
      </c>
      <c r="E103" t="s">
        <v>20</v>
      </c>
      <c r="F103" t="s">
        <v>21</v>
      </c>
      <c r="G103" t="s">
        <v>32</v>
      </c>
      <c r="H103" t="s">
        <v>23</v>
      </c>
      <c r="I103" t="s">
        <v>33</v>
      </c>
      <c r="J103">
        <v>405</v>
      </c>
      <c r="K103" t="s">
        <v>25</v>
      </c>
      <c r="L103">
        <v>64</v>
      </c>
      <c r="M103">
        <v>9</v>
      </c>
      <c r="N103">
        <v>2</v>
      </c>
      <c r="O103" t="s">
        <v>25</v>
      </c>
      <c r="P103" t="s">
        <v>51</v>
      </c>
      <c r="Q103" t="s">
        <v>27</v>
      </c>
      <c r="R103" t="s">
        <v>46</v>
      </c>
      <c r="S103" t="s">
        <v>29</v>
      </c>
    </row>
    <row r="104" spans="1:19" x14ac:dyDescent="0.3">
      <c r="A104">
        <v>103</v>
      </c>
      <c r="B104">
        <v>1207</v>
      </c>
      <c r="C104">
        <v>31</v>
      </c>
      <c r="D104" t="s">
        <v>19</v>
      </c>
      <c r="E104" t="s">
        <v>50</v>
      </c>
      <c r="F104" t="s">
        <v>48</v>
      </c>
      <c r="G104" t="s">
        <v>22</v>
      </c>
      <c r="H104" t="s">
        <v>49</v>
      </c>
      <c r="I104" t="s">
        <v>33</v>
      </c>
      <c r="J104">
        <v>320</v>
      </c>
      <c r="K104" t="s">
        <v>25</v>
      </c>
      <c r="L104">
        <v>74</v>
      </c>
      <c r="M104">
        <v>3</v>
      </c>
      <c r="N104">
        <v>4</v>
      </c>
      <c r="O104" t="s">
        <v>25</v>
      </c>
      <c r="P104" t="s">
        <v>26</v>
      </c>
      <c r="Q104" t="s">
        <v>35</v>
      </c>
      <c r="R104" t="s">
        <v>46</v>
      </c>
      <c r="S104" t="s">
        <v>29</v>
      </c>
    </row>
    <row r="105" spans="1:19" x14ac:dyDescent="0.3">
      <c r="A105">
        <v>104</v>
      </c>
      <c r="B105">
        <v>2953</v>
      </c>
      <c r="C105">
        <v>23</v>
      </c>
      <c r="D105" t="s">
        <v>37</v>
      </c>
      <c r="E105" t="s">
        <v>31</v>
      </c>
      <c r="F105" t="s">
        <v>21</v>
      </c>
      <c r="G105" t="s">
        <v>53</v>
      </c>
      <c r="H105" t="s">
        <v>49</v>
      </c>
      <c r="I105" t="s">
        <v>24</v>
      </c>
      <c r="J105">
        <v>552</v>
      </c>
      <c r="K105" t="s">
        <v>29</v>
      </c>
      <c r="L105">
        <v>94</v>
      </c>
      <c r="M105">
        <v>1</v>
      </c>
      <c r="N105">
        <v>5</v>
      </c>
      <c r="O105" t="s">
        <v>25</v>
      </c>
      <c r="P105" t="s">
        <v>51</v>
      </c>
      <c r="Q105" t="s">
        <v>35</v>
      </c>
      <c r="R105" t="s">
        <v>28</v>
      </c>
      <c r="S105" t="s">
        <v>25</v>
      </c>
    </row>
    <row r="106" spans="1:19" x14ac:dyDescent="0.3">
      <c r="A106">
        <v>105</v>
      </c>
      <c r="B106">
        <v>1288</v>
      </c>
      <c r="C106">
        <v>24</v>
      </c>
      <c r="D106" t="s">
        <v>30</v>
      </c>
      <c r="E106" t="s">
        <v>31</v>
      </c>
      <c r="F106" t="s">
        <v>48</v>
      </c>
      <c r="G106" t="s">
        <v>22</v>
      </c>
      <c r="H106" t="s">
        <v>49</v>
      </c>
      <c r="I106" t="s">
        <v>24</v>
      </c>
      <c r="J106">
        <v>279</v>
      </c>
      <c r="K106" t="s">
        <v>25</v>
      </c>
      <c r="L106">
        <v>28</v>
      </c>
      <c r="M106">
        <v>10</v>
      </c>
      <c r="N106">
        <v>4</v>
      </c>
      <c r="O106" t="s">
        <v>29</v>
      </c>
      <c r="P106" t="s">
        <v>42</v>
      </c>
      <c r="Q106" t="s">
        <v>35</v>
      </c>
      <c r="R106" t="s">
        <v>28</v>
      </c>
      <c r="S106" t="s">
        <v>25</v>
      </c>
    </row>
    <row r="107" spans="1:19" x14ac:dyDescent="0.3">
      <c r="A107">
        <v>106</v>
      </c>
      <c r="B107">
        <v>3777</v>
      </c>
      <c r="C107">
        <v>30</v>
      </c>
      <c r="D107" t="s">
        <v>37</v>
      </c>
      <c r="E107" t="s">
        <v>50</v>
      </c>
      <c r="F107" t="s">
        <v>48</v>
      </c>
      <c r="G107" t="s">
        <v>32</v>
      </c>
      <c r="H107" t="s">
        <v>23</v>
      </c>
      <c r="I107" t="s">
        <v>33</v>
      </c>
      <c r="J107">
        <v>353</v>
      </c>
      <c r="K107" t="s">
        <v>25</v>
      </c>
      <c r="L107">
        <v>70</v>
      </c>
      <c r="M107">
        <v>11</v>
      </c>
      <c r="N107">
        <v>3</v>
      </c>
      <c r="O107" t="s">
        <v>25</v>
      </c>
      <c r="P107" t="s">
        <v>26</v>
      </c>
      <c r="Q107" t="s">
        <v>27</v>
      </c>
      <c r="R107" t="s">
        <v>28</v>
      </c>
      <c r="S107" t="s">
        <v>25</v>
      </c>
    </row>
    <row r="108" spans="1:19" x14ac:dyDescent="0.3">
      <c r="A108">
        <v>107</v>
      </c>
      <c r="B108">
        <v>2296</v>
      </c>
      <c r="C108">
        <v>19</v>
      </c>
      <c r="D108" t="s">
        <v>56</v>
      </c>
      <c r="E108" t="s">
        <v>31</v>
      </c>
      <c r="F108" t="s">
        <v>21</v>
      </c>
      <c r="G108" t="s">
        <v>32</v>
      </c>
      <c r="H108" t="s">
        <v>49</v>
      </c>
      <c r="I108" t="s">
        <v>24</v>
      </c>
      <c r="J108">
        <v>308</v>
      </c>
      <c r="K108" t="s">
        <v>29</v>
      </c>
      <c r="L108">
        <v>90</v>
      </c>
      <c r="M108">
        <v>12</v>
      </c>
      <c r="N108">
        <v>3</v>
      </c>
      <c r="O108" t="s">
        <v>25</v>
      </c>
      <c r="P108" t="s">
        <v>26</v>
      </c>
      <c r="Q108" t="s">
        <v>35</v>
      </c>
      <c r="R108" t="s">
        <v>44</v>
      </c>
      <c r="S108" t="s">
        <v>25</v>
      </c>
    </row>
    <row r="109" spans="1:19" x14ac:dyDescent="0.3">
      <c r="A109">
        <v>108</v>
      </c>
      <c r="B109">
        <v>4289</v>
      </c>
      <c r="C109">
        <v>39</v>
      </c>
      <c r="D109" t="s">
        <v>52</v>
      </c>
      <c r="E109" t="s">
        <v>20</v>
      </c>
      <c r="F109" t="s">
        <v>21</v>
      </c>
      <c r="G109" t="s">
        <v>22</v>
      </c>
      <c r="H109" t="s">
        <v>45</v>
      </c>
      <c r="I109" t="s">
        <v>33</v>
      </c>
      <c r="J109">
        <v>477</v>
      </c>
      <c r="K109" t="s">
        <v>25</v>
      </c>
      <c r="L109">
        <v>72</v>
      </c>
      <c r="M109">
        <v>10</v>
      </c>
      <c r="N109">
        <v>2</v>
      </c>
      <c r="O109" t="s">
        <v>29</v>
      </c>
      <c r="P109" t="s">
        <v>26</v>
      </c>
      <c r="Q109" t="s">
        <v>43</v>
      </c>
      <c r="R109" t="s">
        <v>36</v>
      </c>
      <c r="S109" t="s">
        <v>29</v>
      </c>
    </row>
    <row r="110" spans="1:19" x14ac:dyDescent="0.3">
      <c r="A110">
        <v>109</v>
      </c>
      <c r="B110">
        <v>3052</v>
      </c>
      <c r="C110">
        <v>37</v>
      </c>
      <c r="D110" t="s">
        <v>47</v>
      </c>
      <c r="E110" t="s">
        <v>20</v>
      </c>
      <c r="F110" t="s">
        <v>48</v>
      </c>
      <c r="G110" t="s">
        <v>55</v>
      </c>
      <c r="H110" t="s">
        <v>40</v>
      </c>
      <c r="I110" t="s">
        <v>41</v>
      </c>
      <c r="J110">
        <v>912</v>
      </c>
      <c r="K110" t="s">
        <v>29</v>
      </c>
      <c r="L110">
        <v>48</v>
      </c>
      <c r="M110">
        <v>8</v>
      </c>
      <c r="N110">
        <v>4</v>
      </c>
      <c r="O110" t="s">
        <v>25</v>
      </c>
      <c r="P110" t="s">
        <v>51</v>
      </c>
      <c r="Q110" t="s">
        <v>43</v>
      </c>
      <c r="R110" t="s">
        <v>44</v>
      </c>
      <c r="S110" t="s">
        <v>29</v>
      </c>
    </row>
    <row r="111" spans="1:19" x14ac:dyDescent="0.3">
      <c r="A111">
        <v>110</v>
      </c>
      <c r="B111">
        <v>1379</v>
      </c>
      <c r="C111">
        <v>38</v>
      </c>
      <c r="D111" t="s">
        <v>56</v>
      </c>
      <c r="E111" t="s">
        <v>31</v>
      </c>
      <c r="F111" t="s">
        <v>21</v>
      </c>
      <c r="G111" t="s">
        <v>53</v>
      </c>
      <c r="H111" t="s">
        <v>23</v>
      </c>
      <c r="I111" t="s">
        <v>24</v>
      </c>
      <c r="J111">
        <v>604</v>
      </c>
      <c r="K111" t="s">
        <v>25</v>
      </c>
      <c r="L111">
        <v>91</v>
      </c>
      <c r="M111">
        <v>3</v>
      </c>
      <c r="N111">
        <v>2</v>
      </c>
      <c r="O111" t="s">
        <v>25</v>
      </c>
      <c r="P111" t="s">
        <v>42</v>
      </c>
      <c r="Q111" t="s">
        <v>43</v>
      </c>
      <c r="R111" t="s">
        <v>46</v>
      </c>
      <c r="S111" t="s">
        <v>25</v>
      </c>
    </row>
    <row r="112" spans="1:19" x14ac:dyDescent="0.3">
      <c r="A112">
        <v>111</v>
      </c>
      <c r="B112">
        <v>1068</v>
      </c>
      <c r="C112">
        <v>41</v>
      </c>
      <c r="D112" t="s">
        <v>30</v>
      </c>
      <c r="E112" t="s">
        <v>50</v>
      </c>
      <c r="F112" t="s">
        <v>48</v>
      </c>
      <c r="G112" t="s">
        <v>32</v>
      </c>
      <c r="H112" t="s">
        <v>49</v>
      </c>
      <c r="I112" t="s">
        <v>41</v>
      </c>
      <c r="J112">
        <v>148</v>
      </c>
      <c r="K112" t="s">
        <v>25</v>
      </c>
      <c r="L112">
        <v>56</v>
      </c>
      <c r="M112">
        <v>3</v>
      </c>
      <c r="N112">
        <v>1</v>
      </c>
      <c r="O112" t="s">
        <v>29</v>
      </c>
      <c r="P112" t="s">
        <v>42</v>
      </c>
      <c r="Q112" t="s">
        <v>27</v>
      </c>
      <c r="R112" t="s">
        <v>44</v>
      </c>
      <c r="S112" t="s">
        <v>25</v>
      </c>
    </row>
    <row r="113" spans="1:19" x14ac:dyDescent="0.3">
      <c r="A113">
        <v>112</v>
      </c>
      <c r="B113">
        <v>2511</v>
      </c>
      <c r="C113">
        <v>37</v>
      </c>
      <c r="D113" t="s">
        <v>52</v>
      </c>
      <c r="E113" t="s">
        <v>31</v>
      </c>
      <c r="F113" t="s">
        <v>48</v>
      </c>
      <c r="G113" t="s">
        <v>22</v>
      </c>
      <c r="H113" t="s">
        <v>45</v>
      </c>
      <c r="I113" t="s">
        <v>41</v>
      </c>
      <c r="J113">
        <v>520</v>
      </c>
      <c r="K113" t="s">
        <v>25</v>
      </c>
      <c r="L113">
        <v>42</v>
      </c>
      <c r="M113">
        <v>7</v>
      </c>
      <c r="N113">
        <v>4</v>
      </c>
      <c r="O113" t="s">
        <v>29</v>
      </c>
      <c r="P113" t="s">
        <v>34</v>
      </c>
      <c r="Q113" t="s">
        <v>35</v>
      </c>
      <c r="R113" t="s">
        <v>28</v>
      </c>
      <c r="S113" t="s">
        <v>29</v>
      </c>
    </row>
    <row r="114" spans="1:19" x14ac:dyDescent="0.3">
      <c r="A114">
        <v>113</v>
      </c>
      <c r="B114">
        <v>2586</v>
      </c>
      <c r="C114">
        <v>19</v>
      </c>
      <c r="D114" t="s">
        <v>19</v>
      </c>
      <c r="E114" t="s">
        <v>50</v>
      </c>
      <c r="F114" t="s">
        <v>21</v>
      </c>
      <c r="G114" t="s">
        <v>54</v>
      </c>
      <c r="H114" t="s">
        <v>23</v>
      </c>
      <c r="I114" t="s">
        <v>24</v>
      </c>
      <c r="J114">
        <v>657</v>
      </c>
      <c r="K114" t="s">
        <v>29</v>
      </c>
      <c r="L114">
        <v>95</v>
      </c>
      <c r="M114">
        <v>11</v>
      </c>
      <c r="N114">
        <v>1</v>
      </c>
      <c r="O114" t="s">
        <v>25</v>
      </c>
      <c r="P114" t="s">
        <v>42</v>
      </c>
      <c r="Q114" t="s">
        <v>27</v>
      </c>
      <c r="R114" t="s">
        <v>28</v>
      </c>
      <c r="S114" t="s">
        <v>29</v>
      </c>
    </row>
    <row r="115" spans="1:19" x14ac:dyDescent="0.3">
      <c r="A115">
        <v>114</v>
      </c>
      <c r="B115">
        <v>4172</v>
      </c>
      <c r="C115">
        <v>44</v>
      </c>
      <c r="D115" t="s">
        <v>37</v>
      </c>
      <c r="E115" t="s">
        <v>38</v>
      </c>
      <c r="F115" t="s">
        <v>21</v>
      </c>
      <c r="G115" t="s">
        <v>39</v>
      </c>
      <c r="H115" t="s">
        <v>40</v>
      </c>
      <c r="I115" t="s">
        <v>41</v>
      </c>
      <c r="J115">
        <v>264</v>
      </c>
      <c r="K115" t="s">
        <v>25</v>
      </c>
      <c r="L115">
        <v>44</v>
      </c>
      <c r="M115">
        <v>6</v>
      </c>
      <c r="N115">
        <v>4</v>
      </c>
      <c r="O115" t="s">
        <v>29</v>
      </c>
      <c r="P115" t="s">
        <v>51</v>
      </c>
      <c r="Q115" t="s">
        <v>35</v>
      </c>
      <c r="R115" t="s">
        <v>28</v>
      </c>
      <c r="S115" t="s">
        <v>29</v>
      </c>
    </row>
    <row r="116" spans="1:19" x14ac:dyDescent="0.3">
      <c r="A116">
        <v>115</v>
      </c>
      <c r="B116">
        <v>3534</v>
      </c>
      <c r="C116">
        <v>43</v>
      </c>
      <c r="D116" t="s">
        <v>47</v>
      </c>
      <c r="E116" t="s">
        <v>20</v>
      </c>
      <c r="F116" t="s">
        <v>48</v>
      </c>
      <c r="G116" t="s">
        <v>32</v>
      </c>
      <c r="H116" t="s">
        <v>40</v>
      </c>
      <c r="I116" t="s">
        <v>41</v>
      </c>
      <c r="J116">
        <v>240</v>
      </c>
      <c r="K116" t="s">
        <v>25</v>
      </c>
      <c r="L116">
        <v>65</v>
      </c>
      <c r="M116">
        <v>6</v>
      </c>
      <c r="N116">
        <v>3</v>
      </c>
      <c r="O116" t="s">
        <v>29</v>
      </c>
      <c r="P116" t="s">
        <v>34</v>
      </c>
      <c r="Q116" t="s">
        <v>43</v>
      </c>
      <c r="R116" t="s">
        <v>46</v>
      </c>
      <c r="S116" t="s">
        <v>29</v>
      </c>
    </row>
    <row r="117" spans="1:19" x14ac:dyDescent="0.3">
      <c r="A117">
        <v>116</v>
      </c>
      <c r="B117">
        <v>4291</v>
      </c>
      <c r="C117">
        <v>38</v>
      </c>
      <c r="D117" t="s">
        <v>47</v>
      </c>
      <c r="E117" t="s">
        <v>50</v>
      </c>
      <c r="F117" t="s">
        <v>48</v>
      </c>
      <c r="G117" t="s">
        <v>39</v>
      </c>
      <c r="H117" t="s">
        <v>49</v>
      </c>
      <c r="I117" t="s">
        <v>33</v>
      </c>
      <c r="J117">
        <v>521</v>
      </c>
      <c r="K117" t="s">
        <v>29</v>
      </c>
      <c r="L117">
        <v>52</v>
      </c>
      <c r="M117">
        <v>5</v>
      </c>
      <c r="N117">
        <v>5</v>
      </c>
      <c r="O117" t="s">
        <v>29</v>
      </c>
      <c r="P117" t="s">
        <v>26</v>
      </c>
      <c r="Q117" t="s">
        <v>35</v>
      </c>
      <c r="R117" t="s">
        <v>46</v>
      </c>
      <c r="S117" t="s">
        <v>25</v>
      </c>
    </row>
    <row r="118" spans="1:19" x14ac:dyDescent="0.3">
      <c r="A118">
        <v>117</v>
      </c>
      <c r="B118">
        <v>3654</v>
      </c>
      <c r="C118">
        <v>24</v>
      </c>
      <c r="D118" t="s">
        <v>19</v>
      </c>
      <c r="E118" t="s">
        <v>20</v>
      </c>
      <c r="F118" t="s">
        <v>48</v>
      </c>
      <c r="G118" t="s">
        <v>22</v>
      </c>
      <c r="H118" t="s">
        <v>49</v>
      </c>
      <c r="I118" t="s">
        <v>41</v>
      </c>
      <c r="J118">
        <v>705</v>
      </c>
      <c r="K118" t="s">
        <v>25</v>
      </c>
      <c r="L118">
        <v>37</v>
      </c>
      <c r="M118">
        <v>13</v>
      </c>
      <c r="N118">
        <v>5</v>
      </c>
      <c r="O118" t="s">
        <v>29</v>
      </c>
      <c r="P118" t="s">
        <v>34</v>
      </c>
      <c r="Q118" t="s">
        <v>35</v>
      </c>
      <c r="R118" t="s">
        <v>36</v>
      </c>
      <c r="S118" t="s">
        <v>25</v>
      </c>
    </row>
    <row r="119" spans="1:19" x14ac:dyDescent="0.3">
      <c r="A119">
        <v>118</v>
      </c>
      <c r="B119">
        <v>3558</v>
      </c>
      <c r="C119">
        <v>25</v>
      </c>
      <c r="D119" t="s">
        <v>19</v>
      </c>
      <c r="E119" t="s">
        <v>20</v>
      </c>
      <c r="F119" t="s">
        <v>48</v>
      </c>
      <c r="G119" t="s">
        <v>55</v>
      </c>
      <c r="H119" t="s">
        <v>49</v>
      </c>
      <c r="I119" t="s">
        <v>33</v>
      </c>
      <c r="J119">
        <v>824</v>
      </c>
      <c r="K119" t="s">
        <v>29</v>
      </c>
      <c r="L119">
        <v>50</v>
      </c>
      <c r="M119">
        <v>2</v>
      </c>
      <c r="N119">
        <v>3</v>
      </c>
      <c r="O119" t="s">
        <v>29</v>
      </c>
      <c r="P119" t="s">
        <v>51</v>
      </c>
      <c r="Q119" t="s">
        <v>27</v>
      </c>
      <c r="R119" t="s">
        <v>36</v>
      </c>
      <c r="S119" t="s">
        <v>25</v>
      </c>
    </row>
    <row r="120" spans="1:19" x14ac:dyDescent="0.3">
      <c r="A120">
        <v>119</v>
      </c>
      <c r="B120">
        <v>2559</v>
      </c>
      <c r="C120">
        <v>29</v>
      </c>
      <c r="D120" t="s">
        <v>56</v>
      </c>
      <c r="E120" t="s">
        <v>31</v>
      </c>
      <c r="F120" t="s">
        <v>48</v>
      </c>
      <c r="G120" t="s">
        <v>55</v>
      </c>
      <c r="H120" t="s">
        <v>40</v>
      </c>
      <c r="I120" t="s">
        <v>24</v>
      </c>
      <c r="J120">
        <v>852</v>
      </c>
      <c r="K120" t="s">
        <v>25</v>
      </c>
      <c r="L120">
        <v>29</v>
      </c>
      <c r="M120">
        <v>14</v>
      </c>
      <c r="N120">
        <v>1</v>
      </c>
      <c r="O120" t="s">
        <v>25</v>
      </c>
      <c r="P120" t="s">
        <v>51</v>
      </c>
      <c r="Q120" t="s">
        <v>27</v>
      </c>
      <c r="R120" t="s">
        <v>36</v>
      </c>
      <c r="S120" t="s">
        <v>29</v>
      </c>
    </row>
    <row r="121" spans="1:19" x14ac:dyDescent="0.3">
      <c r="A121">
        <v>120</v>
      </c>
      <c r="B121">
        <v>2934</v>
      </c>
      <c r="C121">
        <v>35</v>
      </c>
      <c r="D121" t="s">
        <v>30</v>
      </c>
      <c r="E121" t="s">
        <v>20</v>
      </c>
      <c r="F121" t="s">
        <v>48</v>
      </c>
      <c r="G121" t="s">
        <v>39</v>
      </c>
      <c r="H121" t="s">
        <v>23</v>
      </c>
      <c r="I121" t="s">
        <v>41</v>
      </c>
      <c r="J121">
        <v>685</v>
      </c>
      <c r="K121" t="s">
        <v>25</v>
      </c>
      <c r="L121">
        <v>78</v>
      </c>
      <c r="M121">
        <v>11</v>
      </c>
      <c r="N121">
        <v>1</v>
      </c>
      <c r="O121" t="s">
        <v>25</v>
      </c>
      <c r="P121" t="s">
        <v>51</v>
      </c>
      <c r="Q121" t="s">
        <v>27</v>
      </c>
      <c r="R121" t="s">
        <v>44</v>
      </c>
      <c r="S121" t="s">
        <v>29</v>
      </c>
    </row>
    <row r="122" spans="1:19" x14ac:dyDescent="0.3">
      <c r="A122">
        <v>121</v>
      </c>
      <c r="B122">
        <v>4364</v>
      </c>
      <c r="C122">
        <v>28</v>
      </c>
      <c r="D122" t="s">
        <v>30</v>
      </c>
      <c r="E122" t="s">
        <v>20</v>
      </c>
      <c r="F122" t="s">
        <v>21</v>
      </c>
      <c r="G122" t="s">
        <v>32</v>
      </c>
      <c r="H122" t="s">
        <v>49</v>
      </c>
      <c r="I122" t="s">
        <v>24</v>
      </c>
      <c r="J122">
        <v>764</v>
      </c>
      <c r="K122" t="s">
        <v>25</v>
      </c>
      <c r="L122">
        <v>37</v>
      </c>
      <c r="M122">
        <v>2</v>
      </c>
      <c r="N122">
        <v>1</v>
      </c>
      <c r="O122" t="s">
        <v>25</v>
      </c>
      <c r="P122" t="s">
        <v>51</v>
      </c>
      <c r="Q122" t="s">
        <v>27</v>
      </c>
      <c r="R122" t="s">
        <v>36</v>
      </c>
      <c r="S122" t="s">
        <v>29</v>
      </c>
    </row>
    <row r="123" spans="1:19" x14ac:dyDescent="0.3">
      <c r="A123">
        <v>122</v>
      </c>
      <c r="B123">
        <v>1581</v>
      </c>
      <c r="C123">
        <v>44</v>
      </c>
      <c r="D123" t="s">
        <v>56</v>
      </c>
      <c r="E123" t="s">
        <v>50</v>
      </c>
      <c r="F123" t="s">
        <v>21</v>
      </c>
      <c r="G123" t="s">
        <v>39</v>
      </c>
      <c r="H123" t="s">
        <v>45</v>
      </c>
      <c r="I123" t="s">
        <v>41</v>
      </c>
      <c r="J123">
        <v>210</v>
      </c>
      <c r="K123" t="s">
        <v>29</v>
      </c>
      <c r="L123">
        <v>96</v>
      </c>
      <c r="M123">
        <v>1</v>
      </c>
      <c r="N123">
        <v>3</v>
      </c>
      <c r="O123" t="s">
        <v>29</v>
      </c>
      <c r="P123" t="s">
        <v>42</v>
      </c>
      <c r="Q123" t="s">
        <v>27</v>
      </c>
      <c r="R123" t="s">
        <v>36</v>
      </c>
      <c r="S123" t="s">
        <v>29</v>
      </c>
    </row>
    <row r="124" spans="1:19" x14ac:dyDescent="0.3">
      <c r="A124">
        <v>123</v>
      </c>
      <c r="B124">
        <v>1244</v>
      </c>
      <c r="C124">
        <v>25</v>
      </c>
      <c r="D124" t="s">
        <v>52</v>
      </c>
      <c r="E124" t="s">
        <v>31</v>
      </c>
      <c r="F124" t="s">
        <v>48</v>
      </c>
      <c r="G124" t="s">
        <v>53</v>
      </c>
      <c r="H124" t="s">
        <v>40</v>
      </c>
      <c r="I124" t="s">
        <v>41</v>
      </c>
      <c r="J124">
        <v>457</v>
      </c>
      <c r="K124" t="s">
        <v>25</v>
      </c>
      <c r="L124">
        <v>80</v>
      </c>
      <c r="M124">
        <v>9</v>
      </c>
      <c r="N124">
        <v>3</v>
      </c>
      <c r="O124" t="s">
        <v>29</v>
      </c>
      <c r="P124" t="s">
        <v>42</v>
      </c>
      <c r="Q124" t="s">
        <v>35</v>
      </c>
      <c r="R124" t="s">
        <v>28</v>
      </c>
      <c r="S124" t="s">
        <v>29</v>
      </c>
    </row>
    <row r="125" spans="1:19" x14ac:dyDescent="0.3">
      <c r="A125">
        <v>124</v>
      </c>
      <c r="B125">
        <v>2854</v>
      </c>
      <c r="C125">
        <v>21</v>
      </c>
      <c r="D125" t="s">
        <v>56</v>
      </c>
      <c r="E125" t="s">
        <v>31</v>
      </c>
      <c r="F125" t="s">
        <v>21</v>
      </c>
      <c r="G125" t="s">
        <v>53</v>
      </c>
      <c r="H125" t="s">
        <v>40</v>
      </c>
      <c r="I125" t="s">
        <v>33</v>
      </c>
      <c r="J125">
        <v>361</v>
      </c>
      <c r="K125" t="s">
        <v>25</v>
      </c>
      <c r="L125">
        <v>32</v>
      </c>
      <c r="M125">
        <v>10</v>
      </c>
      <c r="N125">
        <v>5</v>
      </c>
      <c r="O125" t="s">
        <v>29</v>
      </c>
      <c r="P125" t="s">
        <v>51</v>
      </c>
      <c r="Q125" t="s">
        <v>43</v>
      </c>
      <c r="R125" t="s">
        <v>44</v>
      </c>
      <c r="S125" t="s">
        <v>25</v>
      </c>
    </row>
    <row r="126" spans="1:19" x14ac:dyDescent="0.3">
      <c r="A126">
        <v>125</v>
      </c>
      <c r="B126">
        <v>1421</v>
      </c>
      <c r="C126">
        <v>26</v>
      </c>
      <c r="D126" t="s">
        <v>56</v>
      </c>
      <c r="E126" t="s">
        <v>38</v>
      </c>
      <c r="F126" t="s">
        <v>21</v>
      </c>
      <c r="G126" t="s">
        <v>32</v>
      </c>
      <c r="H126" t="s">
        <v>45</v>
      </c>
      <c r="I126" t="s">
        <v>41</v>
      </c>
      <c r="J126">
        <v>280</v>
      </c>
      <c r="K126" t="s">
        <v>29</v>
      </c>
      <c r="L126">
        <v>50</v>
      </c>
      <c r="M126">
        <v>11</v>
      </c>
      <c r="N126">
        <v>5</v>
      </c>
      <c r="O126" t="s">
        <v>29</v>
      </c>
      <c r="P126" t="s">
        <v>34</v>
      </c>
      <c r="Q126" t="s">
        <v>27</v>
      </c>
      <c r="R126" t="s">
        <v>46</v>
      </c>
      <c r="S126" t="s">
        <v>29</v>
      </c>
    </row>
    <row r="127" spans="1:19" x14ac:dyDescent="0.3">
      <c r="A127">
        <v>126</v>
      </c>
      <c r="B127">
        <v>2408</v>
      </c>
      <c r="C127">
        <v>29</v>
      </c>
      <c r="D127" t="s">
        <v>52</v>
      </c>
      <c r="E127" t="s">
        <v>50</v>
      </c>
      <c r="F127" t="s">
        <v>21</v>
      </c>
      <c r="G127" t="s">
        <v>53</v>
      </c>
      <c r="H127" t="s">
        <v>23</v>
      </c>
      <c r="I127" t="s">
        <v>41</v>
      </c>
      <c r="J127">
        <v>201</v>
      </c>
      <c r="K127" t="s">
        <v>25</v>
      </c>
      <c r="L127">
        <v>79</v>
      </c>
      <c r="M127">
        <v>1</v>
      </c>
      <c r="N127">
        <v>4</v>
      </c>
      <c r="O127" t="s">
        <v>25</v>
      </c>
      <c r="P127" t="s">
        <v>34</v>
      </c>
      <c r="Q127" t="s">
        <v>43</v>
      </c>
      <c r="R127" t="s">
        <v>44</v>
      </c>
      <c r="S127" t="s">
        <v>29</v>
      </c>
    </row>
    <row r="128" spans="1:19" x14ac:dyDescent="0.3">
      <c r="A128">
        <v>127</v>
      </c>
      <c r="B128">
        <v>2240</v>
      </c>
      <c r="C128">
        <v>37</v>
      </c>
      <c r="D128" t="s">
        <v>19</v>
      </c>
      <c r="E128" t="s">
        <v>20</v>
      </c>
      <c r="F128" t="s">
        <v>48</v>
      </c>
      <c r="G128" t="s">
        <v>53</v>
      </c>
      <c r="H128" t="s">
        <v>45</v>
      </c>
      <c r="I128" t="s">
        <v>24</v>
      </c>
      <c r="J128">
        <v>469</v>
      </c>
      <c r="K128" t="s">
        <v>25</v>
      </c>
      <c r="L128">
        <v>74</v>
      </c>
      <c r="M128">
        <v>5</v>
      </c>
      <c r="N128">
        <v>5</v>
      </c>
      <c r="O128" t="s">
        <v>25</v>
      </c>
      <c r="P128" t="s">
        <v>26</v>
      </c>
      <c r="Q128" t="s">
        <v>35</v>
      </c>
      <c r="R128" t="s">
        <v>46</v>
      </c>
      <c r="S128" t="s">
        <v>29</v>
      </c>
    </row>
    <row r="129" spans="1:19" x14ac:dyDescent="0.3">
      <c r="A129">
        <v>128</v>
      </c>
      <c r="B129">
        <v>1517</v>
      </c>
      <c r="C129">
        <v>21</v>
      </c>
      <c r="D129" t="s">
        <v>47</v>
      </c>
      <c r="E129" t="s">
        <v>20</v>
      </c>
      <c r="F129" t="s">
        <v>48</v>
      </c>
      <c r="G129" t="s">
        <v>22</v>
      </c>
      <c r="H129" t="s">
        <v>40</v>
      </c>
      <c r="I129" t="s">
        <v>33</v>
      </c>
      <c r="J129">
        <v>157</v>
      </c>
      <c r="K129" t="s">
        <v>29</v>
      </c>
      <c r="L129">
        <v>34</v>
      </c>
      <c r="M129">
        <v>1</v>
      </c>
      <c r="N129">
        <v>5</v>
      </c>
      <c r="O129" t="s">
        <v>25</v>
      </c>
      <c r="P129" t="s">
        <v>34</v>
      </c>
      <c r="Q129" t="s">
        <v>43</v>
      </c>
      <c r="R129" t="s">
        <v>36</v>
      </c>
      <c r="S129" t="s">
        <v>29</v>
      </c>
    </row>
    <row r="130" spans="1:19" x14ac:dyDescent="0.3">
      <c r="A130">
        <v>129</v>
      </c>
      <c r="B130">
        <v>1440</v>
      </c>
      <c r="C130">
        <v>26</v>
      </c>
      <c r="D130" t="s">
        <v>52</v>
      </c>
      <c r="E130" t="s">
        <v>50</v>
      </c>
      <c r="F130" t="s">
        <v>48</v>
      </c>
      <c r="G130" t="s">
        <v>32</v>
      </c>
      <c r="H130" t="s">
        <v>49</v>
      </c>
      <c r="I130" t="s">
        <v>41</v>
      </c>
      <c r="J130">
        <v>665</v>
      </c>
      <c r="K130" t="s">
        <v>29</v>
      </c>
      <c r="L130">
        <v>97</v>
      </c>
      <c r="M130">
        <v>13</v>
      </c>
      <c r="N130">
        <v>2</v>
      </c>
      <c r="O130" t="s">
        <v>29</v>
      </c>
      <c r="P130" t="s">
        <v>26</v>
      </c>
      <c r="Q130" t="s">
        <v>35</v>
      </c>
      <c r="R130" t="s">
        <v>44</v>
      </c>
      <c r="S130" t="s">
        <v>29</v>
      </c>
    </row>
    <row r="131" spans="1:19" x14ac:dyDescent="0.3">
      <c r="A131">
        <v>130</v>
      </c>
      <c r="B131">
        <v>3367</v>
      </c>
      <c r="C131">
        <v>44</v>
      </c>
      <c r="D131" t="s">
        <v>56</v>
      </c>
      <c r="E131" t="s">
        <v>31</v>
      </c>
      <c r="F131" t="s">
        <v>21</v>
      </c>
      <c r="G131" t="s">
        <v>22</v>
      </c>
      <c r="H131" t="s">
        <v>49</v>
      </c>
      <c r="I131" t="s">
        <v>33</v>
      </c>
      <c r="J131">
        <v>453</v>
      </c>
      <c r="K131" t="s">
        <v>25</v>
      </c>
      <c r="L131">
        <v>31</v>
      </c>
      <c r="M131">
        <v>3</v>
      </c>
      <c r="N131">
        <v>3</v>
      </c>
      <c r="O131" t="s">
        <v>25</v>
      </c>
      <c r="P131" t="s">
        <v>42</v>
      </c>
      <c r="Q131" t="s">
        <v>43</v>
      </c>
      <c r="R131" t="s">
        <v>28</v>
      </c>
      <c r="S131" t="s">
        <v>25</v>
      </c>
    </row>
    <row r="132" spans="1:19" x14ac:dyDescent="0.3">
      <c r="A132">
        <v>131</v>
      </c>
      <c r="B132">
        <v>2806</v>
      </c>
      <c r="C132">
        <v>24</v>
      </c>
      <c r="D132" t="s">
        <v>47</v>
      </c>
      <c r="E132" t="s">
        <v>38</v>
      </c>
      <c r="F132" t="s">
        <v>48</v>
      </c>
      <c r="G132" t="s">
        <v>54</v>
      </c>
      <c r="H132" t="s">
        <v>23</v>
      </c>
      <c r="I132" t="s">
        <v>33</v>
      </c>
      <c r="J132">
        <v>452</v>
      </c>
      <c r="K132" t="s">
        <v>25</v>
      </c>
      <c r="L132">
        <v>72</v>
      </c>
      <c r="M132">
        <v>3</v>
      </c>
      <c r="N132">
        <v>5</v>
      </c>
      <c r="O132" t="s">
        <v>29</v>
      </c>
      <c r="P132" t="s">
        <v>42</v>
      </c>
      <c r="Q132" t="s">
        <v>43</v>
      </c>
      <c r="R132" t="s">
        <v>28</v>
      </c>
      <c r="S132" t="s">
        <v>29</v>
      </c>
    </row>
    <row r="133" spans="1:19" x14ac:dyDescent="0.3">
      <c r="A133">
        <v>132</v>
      </c>
      <c r="B133">
        <v>2768</v>
      </c>
      <c r="C133">
        <v>24</v>
      </c>
      <c r="D133" t="s">
        <v>30</v>
      </c>
      <c r="E133" t="s">
        <v>31</v>
      </c>
      <c r="F133" t="s">
        <v>48</v>
      </c>
      <c r="G133" t="s">
        <v>32</v>
      </c>
      <c r="H133" t="s">
        <v>45</v>
      </c>
      <c r="I133" t="s">
        <v>41</v>
      </c>
      <c r="J133">
        <v>435</v>
      </c>
      <c r="K133" t="s">
        <v>25</v>
      </c>
      <c r="L133">
        <v>39</v>
      </c>
      <c r="M133">
        <v>6</v>
      </c>
      <c r="N133">
        <v>3</v>
      </c>
      <c r="O133" t="s">
        <v>25</v>
      </c>
      <c r="P133" t="s">
        <v>26</v>
      </c>
      <c r="Q133" t="s">
        <v>27</v>
      </c>
      <c r="R133" t="s">
        <v>44</v>
      </c>
      <c r="S133" t="s">
        <v>25</v>
      </c>
    </row>
    <row r="134" spans="1:19" x14ac:dyDescent="0.3">
      <c r="A134">
        <v>133</v>
      </c>
      <c r="B134">
        <v>3744</v>
      </c>
      <c r="C134">
        <v>43</v>
      </c>
      <c r="D134" t="s">
        <v>56</v>
      </c>
      <c r="E134" t="s">
        <v>20</v>
      </c>
      <c r="F134" t="s">
        <v>48</v>
      </c>
      <c r="G134" t="s">
        <v>39</v>
      </c>
      <c r="H134" t="s">
        <v>23</v>
      </c>
      <c r="I134" t="s">
        <v>33</v>
      </c>
      <c r="J134">
        <v>504</v>
      </c>
      <c r="K134" t="s">
        <v>25</v>
      </c>
      <c r="L134">
        <v>26</v>
      </c>
      <c r="M134">
        <v>5</v>
      </c>
      <c r="N134">
        <v>4</v>
      </c>
      <c r="O134" t="s">
        <v>25</v>
      </c>
      <c r="P134" t="s">
        <v>26</v>
      </c>
      <c r="Q134" t="s">
        <v>35</v>
      </c>
      <c r="R134" t="s">
        <v>44</v>
      </c>
      <c r="S134" t="s">
        <v>25</v>
      </c>
    </row>
    <row r="135" spans="1:19" x14ac:dyDescent="0.3">
      <c r="A135">
        <v>134</v>
      </c>
      <c r="B135">
        <v>2002</v>
      </c>
      <c r="C135">
        <v>28</v>
      </c>
      <c r="D135" t="s">
        <v>37</v>
      </c>
      <c r="E135" t="s">
        <v>50</v>
      </c>
      <c r="F135" t="s">
        <v>21</v>
      </c>
      <c r="G135" t="s">
        <v>39</v>
      </c>
      <c r="H135" t="s">
        <v>40</v>
      </c>
      <c r="I135" t="s">
        <v>41</v>
      </c>
      <c r="J135">
        <v>749</v>
      </c>
      <c r="K135" t="s">
        <v>25</v>
      </c>
      <c r="L135">
        <v>21</v>
      </c>
      <c r="M135">
        <v>6</v>
      </c>
      <c r="N135">
        <v>4</v>
      </c>
      <c r="O135" t="s">
        <v>25</v>
      </c>
      <c r="P135" t="s">
        <v>42</v>
      </c>
      <c r="Q135" t="s">
        <v>43</v>
      </c>
      <c r="R135" t="s">
        <v>28</v>
      </c>
      <c r="S135" t="s">
        <v>29</v>
      </c>
    </row>
    <row r="136" spans="1:19" x14ac:dyDescent="0.3">
      <c r="A136">
        <v>135</v>
      </c>
      <c r="B136">
        <v>3039</v>
      </c>
      <c r="C136">
        <v>39</v>
      </c>
      <c r="D136" t="s">
        <v>56</v>
      </c>
      <c r="E136" t="s">
        <v>20</v>
      </c>
      <c r="F136" t="s">
        <v>48</v>
      </c>
      <c r="G136" t="s">
        <v>55</v>
      </c>
      <c r="H136" t="s">
        <v>45</v>
      </c>
      <c r="I136" t="s">
        <v>33</v>
      </c>
      <c r="J136">
        <v>795</v>
      </c>
      <c r="K136" t="s">
        <v>29</v>
      </c>
      <c r="L136">
        <v>29</v>
      </c>
      <c r="M136">
        <v>12</v>
      </c>
      <c r="N136">
        <v>1</v>
      </c>
      <c r="O136" t="s">
        <v>25</v>
      </c>
      <c r="P136" t="s">
        <v>51</v>
      </c>
      <c r="Q136" t="s">
        <v>27</v>
      </c>
      <c r="R136" t="s">
        <v>36</v>
      </c>
      <c r="S136" t="s">
        <v>25</v>
      </c>
    </row>
    <row r="137" spans="1:19" x14ac:dyDescent="0.3">
      <c r="A137">
        <v>136</v>
      </c>
      <c r="B137">
        <v>2765</v>
      </c>
      <c r="C137">
        <v>26</v>
      </c>
      <c r="D137" t="s">
        <v>19</v>
      </c>
      <c r="E137" t="s">
        <v>38</v>
      </c>
      <c r="F137" t="s">
        <v>48</v>
      </c>
      <c r="G137" t="s">
        <v>53</v>
      </c>
      <c r="H137" t="s">
        <v>45</v>
      </c>
      <c r="I137" t="s">
        <v>24</v>
      </c>
      <c r="J137">
        <v>929</v>
      </c>
      <c r="K137" t="s">
        <v>29</v>
      </c>
      <c r="L137">
        <v>22</v>
      </c>
      <c r="M137">
        <v>12</v>
      </c>
      <c r="N137">
        <v>5</v>
      </c>
      <c r="O137" t="s">
        <v>29</v>
      </c>
      <c r="P137" t="s">
        <v>34</v>
      </c>
      <c r="Q137" t="s">
        <v>27</v>
      </c>
      <c r="R137" t="s">
        <v>44</v>
      </c>
      <c r="S137" t="s">
        <v>25</v>
      </c>
    </row>
    <row r="138" spans="1:19" x14ac:dyDescent="0.3">
      <c r="A138">
        <v>137</v>
      </c>
      <c r="B138">
        <v>1370</v>
      </c>
      <c r="C138">
        <v>31</v>
      </c>
      <c r="D138" t="s">
        <v>47</v>
      </c>
      <c r="E138" t="s">
        <v>31</v>
      </c>
      <c r="F138" t="s">
        <v>21</v>
      </c>
      <c r="G138" t="s">
        <v>54</v>
      </c>
      <c r="H138" t="s">
        <v>40</v>
      </c>
      <c r="I138" t="s">
        <v>41</v>
      </c>
      <c r="J138">
        <v>355</v>
      </c>
      <c r="K138" t="s">
        <v>29</v>
      </c>
      <c r="L138">
        <v>39</v>
      </c>
      <c r="M138">
        <v>12</v>
      </c>
      <c r="N138">
        <v>4</v>
      </c>
      <c r="O138" t="s">
        <v>25</v>
      </c>
      <c r="P138" t="s">
        <v>26</v>
      </c>
      <c r="Q138" t="s">
        <v>43</v>
      </c>
      <c r="R138" t="s">
        <v>28</v>
      </c>
      <c r="S138" t="s">
        <v>25</v>
      </c>
    </row>
    <row r="139" spans="1:19" x14ac:dyDescent="0.3">
      <c r="A139">
        <v>138</v>
      </c>
      <c r="B139">
        <v>2435</v>
      </c>
      <c r="C139">
        <v>23</v>
      </c>
      <c r="D139" t="s">
        <v>19</v>
      </c>
      <c r="E139" t="s">
        <v>38</v>
      </c>
      <c r="F139" t="s">
        <v>21</v>
      </c>
      <c r="G139" t="s">
        <v>32</v>
      </c>
      <c r="H139" t="s">
        <v>40</v>
      </c>
      <c r="I139" t="s">
        <v>41</v>
      </c>
      <c r="J139">
        <v>369</v>
      </c>
      <c r="K139" t="s">
        <v>25</v>
      </c>
      <c r="L139">
        <v>43</v>
      </c>
      <c r="M139">
        <v>1</v>
      </c>
      <c r="N139">
        <v>2</v>
      </c>
      <c r="O139" t="s">
        <v>29</v>
      </c>
      <c r="P139" t="s">
        <v>34</v>
      </c>
      <c r="Q139" t="s">
        <v>43</v>
      </c>
      <c r="R139" t="s">
        <v>46</v>
      </c>
      <c r="S139" t="s">
        <v>25</v>
      </c>
    </row>
    <row r="140" spans="1:19" x14ac:dyDescent="0.3">
      <c r="A140">
        <v>139</v>
      </c>
      <c r="B140">
        <v>1769</v>
      </c>
      <c r="C140">
        <v>44</v>
      </c>
      <c r="D140" t="s">
        <v>56</v>
      </c>
      <c r="E140" t="s">
        <v>20</v>
      </c>
      <c r="F140" t="s">
        <v>21</v>
      </c>
      <c r="G140" t="s">
        <v>39</v>
      </c>
      <c r="H140" t="s">
        <v>45</v>
      </c>
      <c r="I140" t="s">
        <v>24</v>
      </c>
      <c r="J140">
        <v>747</v>
      </c>
      <c r="K140" t="s">
        <v>29</v>
      </c>
      <c r="L140">
        <v>87</v>
      </c>
      <c r="M140">
        <v>10</v>
      </c>
      <c r="N140">
        <v>1</v>
      </c>
      <c r="O140" t="s">
        <v>29</v>
      </c>
      <c r="P140" t="s">
        <v>26</v>
      </c>
      <c r="Q140" t="s">
        <v>27</v>
      </c>
      <c r="R140" t="s">
        <v>36</v>
      </c>
      <c r="S140" t="s">
        <v>29</v>
      </c>
    </row>
    <row r="141" spans="1:19" x14ac:dyDescent="0.3">
      <c r="A141">
        <v>140</v>
      </c>
      <c r="B141">
        <v>1788</v>
      </c>
      <c r="C141">
        <v>40</v>
      </c>
      <c r="D141" t="s">
        <v>52</v>
      </c>
      <c r="E141" t="s">
        <v>20</v>
      </c>
      <c r="F141" t="s">
        <v>48</v>
      </c>
      <c r="G141" t="s">
        <v>53</v>
      </c>
      <c r="H141" t="s">
        <v>23</v>
      </c>
      <c r="I141" t="s">
        <v>33</v>
      </c>
      <c r="J141">
        <v>978</v>
      </c>
      <c r="K141" t="s">
        <v>25</v>
      </c>
      <c r="L141">
        <v>71</v>
      </c>
      <c r="M141">
        <v>14</v>
      </c>
      <c r="N141">
        <v>1</v>
      </c>
      <c r="O141" t="s">
        <v>25</v>
      </c>
      <c r="P141" t="s">
        <v>42</v>
      </c>
      <c r="Q141" t="s">
        <v>43</v>
      </c>
      <c r="R141" t="s">
        <v>44</v>
      </c>
      <c r="S141" t="s">
        <v>25</v>
      </c>
    </row>
    <row r="142" spans="1:19" x14ac:dyDescent="0.3">
      <c r="A142">
        <v>141</v>
      </c>
      <c r="B142">
        <v>2829</v>
      </c>
      <c r="C142">
        <v>19</v>
      </c>
      <c r="D142" t="s">
        <v>30</v>
      </c>
      <c r="E142" t="s">
        <v>50</v>
      </c>
      <c r="F142" t="s">
        <v>21</v>
      </c>
      <c r="G142" t="s">
        <v>53</v>
      </c>
      <c r="H142" t="s">
        <v>45</v>
      </c>
      <c r="I142" t="s">
        <v>24</v>
      </c>
      <c r="J142">
        <v>937</v>
      </c>
      <c r="K142" t="s">
        <v>25</v>
      </c>
      <c r="L142">
        <v>46</v>
      </c>
      <c r="M142">
        <v>8</v>
      </c>
      <c r="N142">
        <v>4</v>
      </c>
      <c r="O142" t="s">
        <v>25</v>
      </c>
      <c r="P142" t="s">
        <v>51</v>
      </c>
      <c r="Q142" t="s">
        <v>27</v>
      </c>
      <c r="R142" t="s">
        <v>36</v>
      </c>
      <c r="S142" t="s">
        <v>29</v>
      </c>
    </row>
    <row r="143" spans="1:19" x14ac:dyDescent="0.3">
      <c r="A143">
        <v>142</v>
      </c>
      <c r="B143">
        <v>4345</v>
      </c>
      <c r="C143">
        <v>34</v>
      </c>
      <c r="D143" t="s">
        <v>47</v>
      </c>
      <c r="E143" t="s">
        <v>20</v>
      </c>
      <c r="F143" t="s">
        <v>21</v>
      </c>
      <c r="G143" t="s">
        <v>22</v>
      </c>
      <c r="H143" t="s">
        <v>45</v>
      </c>
      <c r="I143" t="s">
        <v>33</v>
      </c>
      <c r="J143">
        <v>604</v>
      </c>
      <c r="K143" t="s">
        <v>25</v>
      </c>
      <c r="L143">
        <v>60</v>
      </c>
      <c r="M143">
        <v>11</v>
      </c>
      <c r="N143">
        <v>3</v>
      </c>
      <c r="O143" t="s">
        <v>29</v>
      </c>
      <c r="P143" t="s">
        <v>42</v>
      </c>
      <c r="Q143" t="s">
        <v>35</v>
      </c>
      <c r="R143" t="s">
        <v>28</v>
      </c>
      <c r="S143" t="s">
        <v>25</v>
      </c>
    </row>
    <row r="144" spans="1:19" x14ac:dyDescent="0.3">
      <c r="A144">
        <v>143</v>
      </c>
      <c r="B144">
        <v>3764</v>
      </c>
      <c r="C144">
        <v>41</v>
      </c>
      <c r="D144" t="s">
        <v>47</v>
      </c>
      <c r="E144" t="s">
        <v>31</v>
      </c>
      <c r="F144" t="s">
        <v>48</v>
      </c>
      <c r="G144" t="s">
        <v>32</v>
      </c>
      <c r="H144" t="s">
        <v>40</v>
      </c>
      <c r="I144" t="s">
        <v>33</v>
      </c>
      <c r="J144">
        <v>353</v>
      </c>
      <c r="K144" t="s">
        <v>29</v>
      </c>
      <c r="L144">
        <v>81</v>
      </c>
      <c r="M144">
        <v>3</v>
      </c>
      <c r="N144">
        <v>4</v>
      </c>
      <c r="O144" t="s">
        <v>29</v>
      </c>
      <c r="P144" t="s">
        <v>51</v>
      </c>
      <c r="Q144" t="s">
        <v>43</v>
      </c>
      <c r="R144" t="s">
        <v>36</v>
      </c>
      <c r="S144" t="s">
        <v>25</v>
      </c>
    </row>
    <row r="145" spans="1:19" x14ac:dyDescent="0.3">
      <c r="A145">
        <v>144</v>
      </c>
      <c r="B145">
        <v>1703</v>
      </c>
      <c r="C145">
        <v>43</v>
      </c>
      <c r="D145" t="s">
        <v>56</v>
      </c>
      <c r="E145" t="s">
        <v>50</v>
      </c>
      <c r="F145" t="s">
        <v>48</v>
      </c>
      <c r="G145" t="s">
        <v>54</v>
      </c>
      <c r="H145" t="s">
        <v>45</v>
      </c>
      <c r="I145" t="s">
        <v>41</v>
      </c>
      <c r="J145">
        <v>318</v>
      </c>
      <c r="K145" t="s">
        <v>29</v>
      </c>
      <c r="L145">
        <v>82</v>
      </c>
      <c r="M145">
        <v>7</v>
      </c>
      <c r="N145">
        <v>3</v>
      </c>
      <c r="O145" t="s">
        <v>25</v>
      </c>
      <c r="P145" t="s">
        <v>51</v>
      </c>
      <c r="Q145" t="s">
        <v>43</v>
      </c>
      <c r="R145" t="s">
        <v>46</v>
      </c>
      <c r="S145" t="s">
        <v>25</v>
      </c>
    </row>
    <row r="146" spans="1:19" x14ac:dyDescent="0.3">
      <c r="A146">
        <v>145</v>
      </c>
      <c r="B146">
        <v>1253</v>
      </c>
      <c r="C146">
        <v>27</v>
      </c>
      <c r="D146" t="s">
        <v>19</v>
      </c>
      <c r="E146" t="s">
        <v>38</v>
      </c>
      <c r="F146" t="s">
        <v>48</v>
      </c>
      <c r="G146" t="s">
        <v>22</v>
      </c>
      <c r="H146" t="s">
        <v>45</v>
      </c>
      <c r="I146" t="s">
        <v>41</v>
      </c>
      <c r="J146">
        <v>837</v>
      </c>
      <c r="K146" t="s">
        <v>25</v>
      </c>
      <c r="L146">
        <v>23</v>
      </c>
      <c r="M146">
        <v>4</v>
      </c>
      <c r="N146">
        <v>2</v>
      </c>
      <c r="O146" t="s">
        <v>25</v>
      </c>
      <c r="P146" t="s">
        <v>26</v>
      </c>
      <c r="Q146" t="s">
        <v>43</v>
      </c>
      <c r="R146" t="s">
        <v>28</v>
      </c>
      <c r="S146" t="s">
        <v>29</v>
      </c>
    </row>
    <row r="147" spans="1:19" x14ac:dyDescent="0.3">
      <c r="A147">
        <v>146</v>
      </c>
      <c r="B147">
        <v>2580</v>
      </c>
      <c r="C147">
        <v>19</v>
      </c>
      <c r="D147" t="s">
        <v>52</v>
      </c>
      <c r="E147" t="s">
        <v>38</v>
      </c>
      <c r="F147" t="s">
        <v>48</v>
      </c>
      <c r="G147" t="s">
        <v>39</v>
      </c>
      <c r="H147" t="s">
        <v>45</v>
      </c>
      <c r="I147" t="s">
        <v>41</v>
      </c>
      <c r="J147">
        <v>422</v>
      </c>
      <c r="K147" t="s">
        <v>25</v>
      </c>
      <c r="L147">
        <v>38</v>
      </c>
      <c r="M147">
        <v>14</v>
      </c>
      <c r="N147">
        <v>4</v>
      </c>
      <c r="O147" t="s">
        <v>29</v>
      </c>
      <c r="P147" t="s">
        <v>51</v>
      </c>
      <c r="Q147" t="s">
        <v>43</v>
      </c>
      <c r="R147" t="s">
        <v>36</v>
      </c>
      <c r="S147" t="s">
        <v>25</v>
      </c>
    </row>
    <row r="148" spans="1:19" x14ac:dyDescent="0.3">
      <c r="A148">
        <v>147</v>
      </c>
      <c r="B148">
        <v>4107</v>
      </c>
      <c r="C148">
        <v>43</v>
      </c>
      <c r="D148" t="s">
        <v>47</v>
      </c>
      <c r="E148" t="s">
        <v>20</v>
      </c>
      <c r="F148" t="s">
        <v>21</v>
      </c>
      <c r="G148" t="s">
        <v>54</v>
      </c>
      <c r="H148" t="s">
        <v>23</v>
      </c>
      <c r="I148" t="s">
        <v>24</v>
      </c>
      <c r="J148">
        <v>137</v>
      </c>
      <c r="K148" t="s">
        <v>29</v>
      </c>
      <c r="L148">
        <v>95</v>
      </c>
      <c r="M148">
        <v>11</v>
      </c>
      <c r="N148">
        <v>1</v>
      </c>
      <c r="O148" t="s">
        <v>25</v>
      </c>
      <c r="P148" t="s">
        <v>51</v>
      </c>
      <c r="Q148" t="s">
        <v>43</v>
      </c>
      <c r="R148" t="s">
        <v>46</v>
      </c>
      <c r="S148" t="s">
        <v>25</v>
      </c>
    </row>
    <row r="149" spans="1:19" x14ac:dyDescent="0.3">
      <c r="A149">
        <v>148</v>
      </c>
      <c r="B149">
        <v>1905</v>
      </c>
      <c r="C149">
        <v>43</v>
      </c>
      <c r="D149" t="s">
        <v>56</v>
      </c>
      <c r="E149" t="s">
        <v>31</v>
      </c>
      <c r="F149" t="s">
        <v>21</v>
      </c>
      <c r="G149" t="s">
        <v>54</v>
      </c>
      <c r="H149" t="s">
        <v>45</v>
      </c>
      <c r="I149" t="s">
        <v>24</v>
      </c>
      <c r="J149">
        <v>589</v>
      </c>
      <c r="K149" t="s">
        <v>29</v>
      </c>
      <c r="L149">
        <v>25</v>
      </c>
      <c r="M149">
        <v>7</v>
      </c>
      <c r="N149">
        <v>3</v>
      </c>
      <c r="O149" t="s">
        <v>25</v>
      </c>
      <c r="P149" t="s">
        <v>42</v>
      </c>
      <c r="Q149" t="s">
        <v>27</v>
      </c>
      <c r="R149" t="s">
        <v>44</v>
      </c>
      <c r="S149" t="s">
        <v>29</v>
      </c>
    </row>
    <row r="150" spans="1:19" x14ac:dyDescent="0.3">
      <c r="A150">
        <v>149</v>
      </c>
      <c r="B150">
        <v>3338</v>
      </c>
      <c r="C150">
        <v>27</v>
      </c>
      <c r="D150" t="s">
        <v>30</v>
      </c>
      <c r="E150" t="s">
        <v>50</v>
      </c>
      <c r="F150" t="s">
        <v>21</v>
      </c>
      <c r="G150" t="s">
        <v>22</v>
      </c>
      <c r="H150" t="s">
        <v>45</v>
      </c>
      <c r="I150" t="s">
        <v>24</v>
      </c>
      <c r="J150">
        <v>720</v>
      </c>
      <c r="K150" t="s">
        <v>25</v>
      </c>
      <c r="L150">
        <v>61</v>
      </c>
      <c r="M150">
        <v>4</v>
      </c>
      <c r="N150">
        <v>2</v>
      </c>
      <c r="O150" t="s">
        <v>29</v>
      </c>
      <c r="P150" t="s">
        <v>42</v>
      </c>
      <c r="Q150" t="s">
        <v>35</v>
      </c>
      <c r="R150" t="s">
        <v>28</v>
      </c>
      <c r="S150" t="s">
        <v>29</v>
      </c>
    </row>
    <row r="151" spans="1:19" x14ac:dyDescent="0.3">
      <c r="A151">
        <v>150</v>
      </c>
      <c r="B151">
        <v>3766</v>
      </c>
      <c r="C151">
        <v>26</v>
      </c>
      <c r="D151" t="s">
        <v>37</v>
      </c>
      <c r="E151" t="s">
        <v>20</v>
      </c>
      <c r="F151" t="s">
        <v>21</v>
      </c>
      <c r="G151" t="s">
        <v>54</v>
      </c>
      <c r="H151" t="s">
        <v>45</v>
      </c>
      <c r="I151" t="s">
        <v>24</v>
      </c>
      <c r="J151">
        <v>691</v>
      </c>
      <c r="K151" t="s">
        <v>29</v>
      </c>
      <c r="L151">
        <v>53</v>
      </c>
      <c r="M151">
        <v>9</v>
      </c>
      <c r="N151">
        <v>2</v>
      </c>
      <c r="O151" t="s">
        <v>29</v>
      </c>
      <c r="P151" t="s">
        <v>34</v>
      </c>
      <c r="Q151" t="s">
        <v>43</v>
      </c>
      <c r="R151" t="s">
        <v>46</v>
      </c>
      <c r="S151" t="s">
        <v>29</v>
      </c>
    </row>
    <row r="152" spans="1:19" x14ac:dyDescent="0.3">
      <c r="A152">
        <v>151</v>
      </c>
      <c r="B152">
        <v>1546</v>
      </c>
      <c r="C152">
        <v>43</v>
      </c>
      <c r="D152" t="s">
        <v>47</v>
      </c>
      <c r="E152" t="s">
        <v>38</v>
      </c>
      <c r="F152" t="s">
        <v>21</v>
      </c>
      <c r="G152" t="s">
        <v>22</v>
      </c>
      <c r="H152" t="s">
        <v>49</v>
      </c>
      <c r="I152" t="s">
        <v>41</v>
      </c>
      <c r="J152">
        <v>430</v>
      </c>
      <c r="K152" t="s">
        <v>29</v>
      </c>
      <c r="L152">
        <v>89</v>
      </c>
      <c r="M152">
        <v>8</v>
      </c>
      <c r="N152">
        <v>1</v>
      </c>
      <c r="O152" t="s">
        <v>29</v>
      </c>
      <c r="P152" t="s">
        <v>34</v>
      </c>
      <c r="Q152" t="s">
        <v>27</v>
      </c>
      <c r="R152" t="s">
        <v>28</v>
      </c>
      <c r="S152" t="s">
        <v>29</v>
      </c>
    </row>
    <row r="153" spans="1:19" x14ac:dyDescent="0.3">
      <c r="A153">
        <v>152</v>
      </c>
      <c r="B153">
        <v>1535</v>
      </c>
      <c r="C153">
        <v>40</v>
      </c>
      <c r="D153" t="s">
        <v>47</v>
      </c>
      <c r="E153" t="s">
        <v>20</v>
      </c>
      <c r="F153" t="s">
        <v>48</v>
      </c>
      <c r="G153" t="s">
        <v>53</v>
      </c>
      <c r="H153" t="s">
        <v>23</v>
      </c>
      <c r="I153" t="s">
        <v>33</v>
      </c>
      <c r="J153">
        <v>612</v>
      </c>
      <c r="K153" t="s">
        <v>25</v>
      </c>
      <c r="L153">
        <v>69</v>
      </c>
      <c r="M153">
        <v>11</v>
      </c>
      <c r="N153">
        <v>1</v>
      </c>
      <c r="O153" t="s">
        <v>29</v>
      </c>
      <c r="P153" t="s">
        <v>42</v>
      </c>
      <c r="Q153" t="s">
        <v>43</v>
      </c>
      <c r="R153" t="s">
        <v>36</v>
      </c>
      <c r="S153" t="s">
        <v>29</v>
      </c>
    </row>
    <row r="154" spans="1:19" x14ac:dyDescent="0.3">
      <c r="A154">
        <v>153</v>
      </c>
      <c r="B154">
        <v>2113</v>
      </c>
      <c r="C154">
        <v>21</v>
      </c>
      <c r="D154" t="s">
        <v>52</v>
      </c>
      <c r="E154" t="s">
        <v>20</v>
      </c>
      <c r="F154" t="s">
        <v>48</v>
      </c>
      <c r="G154" t="s">
        <v>22</v>
      </c>
      <c r="H154" t="s">
        <v>40</v>
      </c>
      <c r="I154" t="s">
        <v>24</v>
      </c>
      <c r="J154">
        <v>814</v>
      </c>
      <c r="K154" t="s">
        <v>25</v>
      </c>
      <c r="L154">
        <v>83</v>
      </c>
      <c r="M154">
        <v>12</v>
      </c>
      <c r="N154">
        <v>1</v>
      </c>
      <c r="O154" t="s">
        <v>25</v>
      </c>
      <c r="P154" t="s">
        <v>51</v>
      </c>
      <c r="Q154" t="s">
        <v>35</v>
      </c>
      <c r="R154" t="s">
        <v>44</v>
      </c>
      <c r="S154" t="s">
        <v>29</v>
      </c>
    </row>
    <row r="155" spans="1:19" x14ac:dyDescent="0.3">
      <c r="A155">
        <v>154</v>
      </c>
      <c r="B155">
        <v>1168</v>
      </c>
      <c r="C155">
        <v>33</v>
      </c>
      <c r="D155" t="s">
        <v>30</v>
      </c>
      <c r="E155" t="s">
        <v>31</v>
      </c>
      <c r="F155" t="s">
        <v>21</v>
      </c>
      <c r="G155" t="s">
        <v>54</v>
      </c>
      <c r="H155" t="s">
        <v>23</v>
      </c>
      <c r="I155" t="s">
        <v>33</v>
      </c>
      <c r="J155">
        <v>972</v>
      </c>
      <c r="K155" t="s">
        <v>25</v>
      </c>
      <c r="L155">
        <v>87</v>
      </c>
      <c r="M155">
        <v>2</v>
      </c>
      <c r="N155">
        <v>2</v>
      </c>
      <c r="O155" t="s">
        <v>29</v>
      </c>
      <c r="P155" t="s">
        <v>26</v>
      </c>
      <c r="Q155" t="s">
        <v>35</v>
      </c>
      <c r="R155" t="s">
        <v>28</v>
      </c>
      <c r="S155" t="s">
        <v>29</v>
      </c>
    </row>
    <row r="156" spans="1:19" x14ac:dyDescent="0.3">
      <c r="A156">
        <v>155</v>
      </c>
      <c r="B156">
        <v>4450</v>
      </c>
      <c r="C156">
        <v>41</v>
      </c>
      <c r="D156" t="s">
        <v>30</v>
      </c>
      <c r="E156" t="s">
        <v>38</v>
      </c>
      <c r="F156" t="s">
        <v>21</v>
      </c>
      <c r="G156" t="s">
        <v>32</v>
      </c>
      <c r="H156" t="s">
        <v>23</v>
      </c>
      <c r="I156" t="s">
        <v>41</v>
      </c>
      <c r="J156">
        <v>774</v>
      </c>
      <c r="K156" t="s">
        <v>25</v>
      </c>
      <c r="L156">
        <v>66</v>
      </c>
      <c r="M156">
        <v>5</v>
      </c>
      <c r="N156">
        <v>2</v>
      </c>
      <c r="O156" t="s">
        <v>25</v>
      </c>
      <c r="P156" t="s">
        <v>51</v>
      </c>
      <c r="Q156" t="s">
        <v>27</v>
      </c>
      <c r="R156" t="s">
        <v>36</v>
      </c>
      <c r="S156" t="s">
        <v>25</v>
      </c>
    </row>
    <row r="157" spans="1:19" x14ac:dyDescent="0.3">
      <c r="A157">
        <v>156</v>
      </c>
      <c r="B157">
        <v>3248</v>
      </c>
      <c r="C157">
        <v>38</v>
      </c>
      <c r="D157" t="s">
        <v>52</v>
      </c>
      <c r="E157" t="s">
        <v>50</v>
      </c>
      <c r="F157" t="s">
        <v>21</v>
      </c>
      <c r="G157" t="s">
        <v>53</v>
      </c>
      <c r="H157" t="s">
        <v>23</v>
      </c>
      <c r="I157" t="s">
        <v>33</v>
      </c>
      <c r="J157">
        <v>903</v>
      </c>
      <c r="K157" t="s">
        <v>29</v>
      </c>
      <c r="L157">
        <v>28</v>
      </c>
      <c r="M157">
        <v>4</v>
      </c>
      <c r="N157">
        <v>1</v>
      </c>
      <c r="O157" t="s">
        <v>25</v>
      </c>
      <c r="P157" t="s">
        <v>34</v>
      </c>
      <c r="Q157" t="s">
        <v>35</v>
      </c>
      <c r="R157" t="s">
        <v>46</v>
      </c>
      <c r="S157" t="s">
        <v>25</v>
      </c>
    </row>
    <row r="158" spans="1:19" x14ac:dyDescent="0.3">
      <c r="A158">
        <v>157</v>
      </c>
      <c r="B158">
        <v>2926</v>
      </c>
      <c r="C158">
        <v>38</v>
      </c>
      <c r="D158" t="s">
        <v>37</v>
      </c>
      <c r="E158" t="s">
        <v>38</v>
      </c>
      <c r="F158" t="s">
        <v>21</v>
      </c>
      <c r="G158" t="s">
        <v>39</v>
      </c>
      <c r="H158" t="s">
        <v>45</v>
      </c>
      <c r="I158" t="s">
        <v>24</v>
      </c>
      <c r="J158">
        <v>477</v>
      </c>
      <c r="K158" t="s">
        <v>25</v>
      </c>
      <c r="L158">
        <v>48</v>
      </c>
      <c r="M158">
        <v>9</v>
      </c>
      <c r="N158">
        <v>2</v>
      </c>
      <c r="O158" t="s">
        <v>25</v>
      </c>
      <c r="P158" t="s">
        <v>34</v>
      </c>
      <c r="Q158" t="s">
        <v>35</v>
      </c>
      <c r="R158" t="s">
        <v>28</v>
      </c>
      <c r="S158" t="s">
        <v>25</v>
      </c>
    </row>
    <row r="159" spans="1:19" x14ac:dyDescent="0.3">
      <c r="A159">
        <v>158</v>
      </c>
      <c r="B159">
        <v>2603</v>
      </c>
      <c r="C159">
        <v>34</v>
      </c>
      <c r="D159" t="s">
        <v>30</v>
      </c>
      <c r="E159" t="s">
        <v>31</v>
      </c>
      <c r="F159" t="s">
        <v>48</v>
      </c>
      <c r="G159" t="s">
        <v>39</v>
      </c>
      <c r="H159" t="s">
        <v>40</v>
      </c>
      <c r="I159" t="s">
        <v>24</v>
      </c>
      <c r="J159">
        <v>669</v>
      </c>
      <c r="K159" t="s">
        <v>29</v>
      </c>
      <c r="L159">
        <v>98</v>
      </c>
      <c r="M159">
        <v>9</v>
      </c>
      <c r="N159">
        <v>2</v>
      </c>
      <c r="O159" t="s">
        <v>29</v>
      </c>
      <c r="P159" t="s">
        <v>34</v>
      </c>
      <c r="Q159" t="s">
        <v>27</v>
      </c>
      <c r="R159" t="s">
        <v>28</v>
      </c>
      <c r="S159" t="s">
        <v>25</v>
      </c>
    </row>
    <row r="160" spans="1:19" x14ac:dyDescent="0.3">
      <c r="A160">
        <v>159</v>
      </c>
      <c r="B160">
        <v>3220</v>
      </c>
      <c r="C160">
        <v>28</v>
      </c>
      <c r="D160" t="s">
        <v>47</v>
      </c>
      <c r="E160" t="s">
        <v>38</v>
      </c>
      <c r="F160" t="s">
        <v>48</v>
      </c>
      <c r="G160" t="s">
        <v>32</v>
      </c>
      <c r="H160" t="s">
        <v>40</v>
      </c>
      <c r="I160" t="s">
        <v>24</v>
      </c>
      <c r="J160">
        <v>782</v>
      </c>
      <c r="K160" t="s">
        <v>29</v>
      </c>
      <c r="L160">
        <v>89</v>
      </c>
      <c r="M160">
        <v>3</v>
      </c>
      <c r="N160">
        <v>3</v>
      </c>
      <c r="O160" t="s">
        <v>29</v>
      </c>
      <c r="P160" t="s">
        <v>34</v>
      </c>
      <c r="Q160" t="s">
        <v>43</v>
      </c>
      <c r="R160" t="s">
        <v>28</v>
      </c>
      <c r="S160" t="s">
        <v>25</v>
      </c>
    </row>
    <row r="161" spans="1:19" x14ac:dyDescent="0.3">
      <c r="A161">
        <v>160</v>
      </c>
      <c r="B161">
        <v>4852</v>
      </c>
      <c r="C161">
        <v>44</v>
      </c>
      <c r="D161" t="s">
        <v>19</v>
      </c>
      <c r="E161" t="s">
        <v>20</v>
      </c>
      <c r="F161" t="s">
        <v>21</v>
      </c>
      <c r="G161" t="s">
        <v>32</v>
      </c>
      <c r="H161" t="s">
        <v>49</v>
      </c>
      <c r="I161" t="s">
        <v>33</v>
      </c>
      <c r="J161">
        <v>992</v>
      </c>
      <c r="K161" t="s">
        <v>29</v>
      </c>
      <c r="L161">
        <v>74</v>
      </c>
      <c r="M161">
        <v>13</v>
      </c>
      <c r="N161">
        <v>5</v>
      </c>
      <c r="O161" t="s">
        <v>25</v>
      </c>
      <c r="P161" t="s">
        <v>26</v>
      </c>
      <c r="Q161" t="s">
        <v>35</v>
      </c>
      <c r="R161" t="s">
        <v>28</v>
      </c>
      <c r="S161" t="s">
        <v>25</v>
      </c>
    </row>
    <row r="162" spans="1:19" x14ac:dyDescent="0.3">
      <c r="A162">
        <v>161</v>
      </c>
      <c r="B162">
        <v>4748</v>
      </c>
      <c r="C162">
        <v>43</v>
      </c>
      <c r="D162" t="s">
        <v>30</v>
      </c>
      <c r="E162" t="s">
        <v>20</v>
      </c>
      <c r="F162" t="s">
        <v>48</v>
      </c>
      <c r="G162" t="s">
        <v>32</v>
      </c>
      <c r="H162" t="s">
        <v>23</v>
      </c>
      <c r="I162" t="s">
        <v>41</v>
      </c>
      <c r="J162">
        <v>201</v>
      </c>
      <c r="K162" t="s">
        <v>25</v>
      </c>
      <c r="L162">
        <v>93</v>
      </c>
      <c r="M162">
        <v>8</v>
      </c>
      <c r="N162">
        <v>2</v>
      </c>
      <c r="O162" t="s">
        <v>29</v>
      </c>
      <c r="P162" t="s">
        <v>34</v>
      </c>
      <c r="Q162" t="s">
        <v>27</v>
      </c>
      <c r="R162" t="s">
        <v>46</v>
      </c>
      <c r="S162" t="s">
        <v>25</v>
      </c>
    </row>
    <row r="163" spans="1:19" x14ac:dyDescent="0.3">
      <c r="A163">
        <v>162</v>
      </c>
      <c r="B163">
        <v>1775</v>
      </c>
      <c r="C163">
        <v>28</v>
      </c>
      <c r="D163" t="s">
        <v>56</v>
      </c>
      <c r="E163" t="s">
        <v>31</v>
      </c>
      <c r="F163" t="s">
        <v>21</v>
      </c>
      <c r="G163" t="s">
        <v>32</v>
      </c>
      <c r="H163" t="s">
        <v>23</v>
      </c>
      <c r="I163" t="s">
        <v>33</v>
      </c>
      <c r="J163">
        <v>109</v>
      </c>
      <c r="K163" t="s">
        <v>29</v>
      </c>
      <c r="L163">
        <v>51</v>
      </c>
      <c r="M163">
        <v>11</v>
      </c>
      <c r="N163">
        <v>1</v>
      </c>
      <c r="O163" t="s">
        <v>29</v>
      </c>
      <c r="P163" t="s">
        <v>34</v>
      </c>
      <c r="Q163" t="s">
        <v>43</v>
      </c>
      <c r="R163" t="s">
        <v>46</v>
      </c>
      <c r="S163" t="s">
        <v>29</v>
      </c>
    </row>
    <row r="164" spans="1:19" x14ac:dyDescent="0.3">
      <c r="A164">
        <v>163</v>
      </c>
      <c r="B164">
        <v>3282</v>
      </c>
      <c r="C164">
        <v>41</v>
      </c>
      <c r="D164" t="s">
        <v>52</v>
      </c>
      <c r="E164" t="s">
        <v>50</v>
      </c>
      <c r="F164" t="s">
        <v>21</v>
      </c>
      <c r="G164" t="s">
        <v>39</v>
      </c>
      <c r="H164" t="s">
        <v>49</v>
      </c>
      <c r="I164" t="s">
        <v>24</v>
      </c>
      <c r="J164">
        <v>751</v>
      </c>
      <c r="K164" t="s">
        <v>29</v>
      </c>
      <c r="L164">
        <v>91</v>
      </c>
      <c r="M164">
        <v>12</v>
      </c>
      <c r="N164">
        <v>2</v>
      </c>
      <c r="O164" t="s">
        <v>29</v>
      </c>
      <c r="P164" t="s">
        <v>42</v>
      </c>
      <c r="Q164" t="s">
        <v>27</v>
      </c>
      <c r="R164" t="s">
        <v>44</v>
      </c>
      <c r="S164" t="s">
        <v>29</v>
      </c>
    </row>
    <row r="165" spans="1:19" x14ac:dyDescent="0.3">
      <c r="A165">
        <v>164</v>
      </c>
      <c r="B165">
        <v>1314</v>
      </c>
      <c r="C165">
        <v>43</v>
      </c>
      <c r="D165" t="s">
        <v>37</v>
      </c>
      <c r="E165" t="s">
        <v>20</v>
      </c>
      <c r="F165" t="s">
        <v>48</v>
      </c>
      <c r="G165" t="s">
        <v>32</v>
      </c>
      <c r="H165" t="s">
        <v>40</v>
      </c>
      <c r="I165" t="s">
        <v>41</v>
      </c>
      <c r="J165">
        <v>727</v>
      </c>
      <c r="K165" t="s">
        <v>25</v>
      </c>
      <c r="L165">
        <v>28</v>
      </c>
      <c r="M165">
        <v>1</v>
      </c>
      <c r="N165">
        <v>2</v>
      </c>
      <c r="O165" t="s">
        <v>29</v>
      </c>
      <c r="P165" t="s">
        <v>34</v>
      </c>
      <c r="Q165" t="s">
        <v>27</v>
      </c>
      <c r="R165" t="s">
        <v>46</v>
      </c>
      <c r="S165" t="s">
        <v>29</v>
      </c>
    </row>
    <row r="166" spans="1:19" x14ac:dyDescent="0.3">
      <c r="A166">
        <v>165</v>
      </c>
      <c r="B166">
        <v>4311</v>
      </c>
      <c r="C166">
        <v>25</v>
      </c>
      <c r="D166" t="s">
        <v>37</v>
      </c>
      <c r="E166" t="s">
        <v>20</v>
      </c>
      <c r="F166" t="s">
        <v>21</v>
      </c>
      <c r="G166" t="s">
        <v>32</v>
      </c>
      <c r="H166" t="s">
        <v>40</v>
      </c>
      <c r="I166" t="s">
        <v>33</v>
      </c>
      <c r="J166">
        <v>345</v>
      </c>
      <c r="K166" t="s">
        <v>25</v>
      </c>
      <c r="L166">
        <v>27</v>
      </c>
      <c r="M166">
        <v>2</v>
      </c>
      <c r="N166">
        <v>3</v>
      </c>
      <c r="O166" t="s">
        <v>29</v>
      </c>
      <c r="P166" t="s">
        <v>51</v>
      </c>
      <c r="Q166" t="s">
        <v>43</v>
      </c>
      <c r="R166" t="s">
        <v>46</v>
      </c>
      <c r="S166" t="s">
        <v>29</v>
      </c>
    </row>
    <row r="167" spans="1:19" x14ac:dyDescent="0.3">
      <c r="A167">
        <v>166</v>
      </c>
      <c r="B167">
        <v>1353</v>
      </c>
      <c r="C167">
        <v>40</v>
      </c>
      <c r="D167" t="s">
        <v>19</v>
      </c>
      <c r="E167" t="s">
        <v>20</v>
      </c>
      <c r="F167" t="s">
        <v>21</v>
      </c>
      <c r="G167" t="s">
        <v>55</v>
      </c>
      <c r="H167" t="s">
        <v>49</v>
      </c>
      <c r="I167" t="s">
        <v>41</v>
      </c>
      <c r="J167">
        <v>547</v>
      </c>
      <c r="K167" t="s">
        <v>29</v>
      </c>
      <c r="L167">
        <v>27</v>
      </c>
      <c r="M167">
        <v>3</v>
      </c>
      <c r="N167">
        <v>3</v>
      </c>
      <c r="O167" t="s">
        <v>25</v>
      </c>
      <c r="P167" t="s">
        <v>34</v>
      </c>
      <c r="Q167" t="s">
        <v>43</v>
      </c>
      <c r="R167" t="s">
        <v>36</v>
      </c>
      <c r="S167" t="s">
        <v>29</v>
      </c>
    </row>
    <row r="168" spans="1:19" x14ac:dyDescent="0.3">
      <c r="A168">
        <v>167</v>
      </c>
      <c r="B168">
        <v>4324</v>
      </c>
      <c r="C168">
        <v>24</v>
      </c>
      <c r="D168" t="s">
        <v>19</v>
      </c>
      <c r="E168" t="s">
        <v>50</v>
      </c>
      <c r="F168" t="s">
        <v>21</v>
      </c>
      <c r="G168" t="s">
        <v>54</v>
      </c>
      <c r="H168" t="s">
        <v>40</v>
      </c>
      <c r="I168" t="s">
        <v>33</v>
      </c>
      <c r="J168">
        <v>183</v>
      </c>
      <c r="K168" t="s">
        <v>29</v>
      </c>
      <c r="L168">
        <v>48</v>
      </c>
      <c r="M168">
        <v>5</v>
      </c>
      <c r="N168">
        <v>2</v>
      </c>
      <c r="O168" t="s">
        <v>29</v>
      </c>
      <c r="P168" t="s">
        <v>26</v>
      </c>
      <c r="Q168" t="s">
        <v>43</v>
      </c>
      <c r="R168" t="s">
        <v>44</v>
      </c>
      <c r="S168" t="s">
        <v>25</v>
      </c>
    </row>
    <row r="169" spans="1:19" x14ac:dyDescent="0.3">
      <c r="A169">
        <v>168</v>
      </c>
      <c r="B169">
        <v>4253</v>
      </c>
      <c r="C169">
        <v>28</v>
      </c>
      <c r="D169" t="s">
        <v>37</v>
      </c>
      <c r="E169" t="s">
        <v>31</v>
      </c>
      <c r="F169" t="s">
        <v>21</v>
      </c>
      <c r="G169" t="s">
        <v>39</v>
      </c>
      <c r="H169" t="s">
        <v>40</v>
      </c>
      <c r="I169" t="s">
        <v>24</v>
      </c>
      <c r="J169">
        <v>943</v>
      </c>
      <c r="K169" t="s">
        <v>25</v>
      </c>
      <c r="L169">
        <v>88</v>
      </c>
      <c r="M169">
        <v>2</v>
      </c>
      <c r="N169">
        <v>1</v>
      </c>
      <c r="O169" t="s">
        <v>29</v>
      </c>
      <c r="P169" t="s">
        <v>26</v>
      </c>
      <c r="Q169" t="s">
        <v>35</v>
      </c>
      <c r="R169" t="s">
        <v>28</v>
      </c>
      <c r="S169" t="s">
        <v>25</v>
      </c>
    </row>
    <row r="170" spans="1:19" x14ac:dyDescent="0.3">
      <c r="A170">
        <v>169</v>
      </c>
      <c r="B170">
        <v>4198</v>
      </c>
      <c r="C170">
        <v>37</v>
      </c>
      <c r="D170" t="s">
        <v>30</v>
      </c>
      <c r="E170" t="s">
        <v>20</v>
      </c>
      <c r="F170" t="s">
        <v>21</v>
      </c>
      <c r="G170" t="s">
        <v>55</v>
      </c>
      <c r="H170" t="s">
        <v>45</v>
      </c>
      <c r="I170" t="s">
        <v>24</v>
      </c>
      <c r="J170">
        <v>981</v>
      </c>
      <c r="K170" t="s">
        <v>25</v>
      </c>
      <c r="L170">
        <v>24</v>
      </c>
      <c r="M170">
        <v>9</v>
      </c>
      <c r="N170">
        <v>4</v>
      </c>
      <c r="O170" t="s">
        <v>25</v>
      </c>
      <c r="P170" t="s">
        <v>34</v>
      </c>
      <c r="Q170" t="s">
        <v>27</v>
      </c>
      <c r="R170" t="s">
        <v>28</v>
      </c>
      <c r="S170" t="s">
        <v>25</v>
      </c>
    </row>
    <row r="171" spans="1:19" x14ac:dyDescent="0.3">
      <c r="A171">
        <v>170</v>
      </c>
      <c r="B171">
        <v>4307</v>
      </c>
      <c r="C171">
        <v>20</v>
      </c>
      <c r="D171" t="s">
        <v>19</v>
      </c>
      <c r="E171" t="s">
        <v>50</v>
      </c>
      <c r="F171" t="s">
        <v>21</v>
      </c>
      <c r="G171" t="s">
        <v>32</v>
      </c>
      <c r="H171" t="s">
        <v>49</v>
      </c>
      <c r="I171" t="s">
        <v>24</v>
      </c>
      <c r="J171">
        <v>424</v>
      </c>
      <c r="K171" t="s">
        <v>29</v>
      </c>
      <c r="L171">
        <v>87</v>
      </c>
      <c r="M171">
        <v>5</v>
      </c>
      <c r="N171">
        <v>4</v>
      </c>
      <c r="O171" t="s">
        <v>29</v>
      </c>
      <c r="P171" t="s">
        <v>42</v>
      </c>
      <c r="Q171" t="s">
        <v>27</v>
      </c>
      <c r="R171" t="s">
        <v>36</v>
      </c>
      <c r="S171" t="s">
        <v>29</v>
      </c>
    </row>
    <row r="172" spans="1:19" x14ac:dyDescent="0.3">
      <c r="A172">
        <v>171</v>
      </c>
      <c r="B172">
        <v>2160</v>
      </c>
      <c r="C172">
        <v>40</v>
      </c>
      <c r="D172" t="s">
        <v>52</v>
      </c>
      <c r="E172" t="s">
        <v>38</v>
      </c>
      <c r="F172" t="s">
        <v>48</v>
      </c>
      <c r="G172" t="s">
        <v>22</v>
      </c>
      <c r="H172" t="s">
        <v>45</v>
      </c>
      <c r="I172" t="s">
        <v>33</v>
      </c>
      <c r="J172">
        <v>717</v>
      </c>
      <c r="K172" t="s">
        <v>25</v>
      </c>
      <c r="L172">
        <v>56</v>
      </c>
      <c r="M172">
        <v>2</v>
      </c>
      <c r="N172">
        <v>2</v>
      </c>
      <c r="O172" t="s">
        <v>29</v>
      </c>
      <c r="P172" t="s">
        <v>51</v>
      </c>
      <c r="Q172" t="s">
        <v>27</v>
      </c>
      <c r="R172" t="s">
        <v>46</v>
      </c>
      <c r="S172" t="s">
        <v>25</v>
      </c>
    </row>
    <row r="173" spans="1:19" x14ac:dyDescent="0.3">
      <c r="A173">
        <v>172</v>
      </c>
      <c r="B173">
        <v>4454</v>
      </c>
      <c r="C173">
        <v>24</v>
      </c>
      <c r="D173" t="s">
        <v>52</v>
      </c>
      <c r="E173" t="s">
        <v>31</v>
      </c>
      <c r="F173" t="s">
        <v>21</v>
      </c>
      <c r="G173" t="s">
        <v>32</v>
      </c>
      <c r="H173" t="s">
        <v>40</v>
      </c>
      <c r="I173" t="s">
        <v>33</v>
      </c>
      <c r="J173">
        <v>866</v>
      </c>
      <c r="K173" t="s">
        <v>25</v>
      </c>
      <c r="L173">
        <v>99</v>
      </c>
      <c r="M173">
        <v>3</v>
      </c>
      <c r="N173">
        <v>4</v>
      </c>
      <c r="O173" t="s">
        <v>29</v>
      </c>
      <c r="P173" t="s">
        <v>42</v>
      </c>
      <c r="Q173" t="s">
        <v>35</v>
      </c>
      <c r="R173" t="s">
        <v>46</v>
      </c>
      <c r="S173" t="s">
        <v>25</v>
      </c>
    </row>
    <row r="174" spans="1:19" x14ac:dyDescent="0.3">
      <c r="A174">
        <v>173</v>
      </c>
      <c r="B174">
        <v>3308</v>
      </c>
      <c r="C174">
        <v>27</v>
      </c>
      <c r="D174" t="s">
        <v>37</v>
      </c>
      <c r="E174" t="s">
        <v>38</v>
      </c>
      <c r="F174" t="s">
        <v>48</v>
      </c>
      <c r="G174" t="s">
        <v>54</v>
      </c>
      <c r="H174" t="s">
        <v>49</v>
      </c>
      <c r="I174" t="s">
        <v>41</v>
      </c>
      <c r="J174">
        <v>831</v>
      </c>
      <c r="K174" t="s">
        <v>25</v>
      </c>
      <c r="L174">
        <v>45</v>
      </c>
      <c r="M174">
        <v>3</v>
      </c>
      <c r="N174">
        <v>3</v>
      </c>
      <c r="O174" t="s">
        <v>25</v>
      </c>
      <c r="P174" t="s">
        <v>42</v>
      </c>
      <c r="Q174" t="s">
        <v>27</v>
      </c>
      <c r="R174" t="s">
        <v>36</v>
      </c>
      <c r="S174" t="s">
        <v>25</v>
      </c>
    </row>
    <row r="175" spans="1:19" x14ac:dyDescent="0.3">
      <c r="A175">
        <v>174</v>
      </c>
      <c r="B175">
        <v>1312</v>
      </c>
      <c r="C175">
        <v>34</v>
      </c>
      <c r="D175" t="s">
        <v>19</v>
      </c>
      <c r="E175" t="s">
        <v>20</v>
      </c>
      <c r="F175" t="s">
        <v>48</v>
      </c>
      <c r="G175" t="s">
        <v>39</v>
      </c>
      <c r="H175" t="s">
        <v>40</v>
      </c>
      <c r="I175" t="s">
        <v>24</v>
      </c>
      <c r="J175">
        <v>181</v>
      </c>
      <c r="K175" t="s">
        <v>25</v>
      </c>
      <c r="L175">
        <v>27</v>
      </c>
      <c r="M175">
        <v>12</v>
      </c>
      <c r="N175">
        <v>2</v>
      </c>
      <c r="O175" t="s">
        <v>29</v>
      </c>
      <c r="P175" t="s">
        <v>51</v>
      </c>
      <c r="Q175" t="s">
        <v>27</v>
      </c>
      <c r="R175" t="s">
        <v>28</v>
      </c>
      <c r="S175" t="s">
        <v>25</v>
      </c>
    </row>
    <row r="176" spans="1:19" x14ac:dyDescent="0.3">
      <c r="A176">
        <v>175</v>
      </c>
      <c r="B176">
        <v>3029</v>
      </c>
      <c r="C176">
        <v>18</v>
      </c>
      <c r="D176" t="s">
        <v>56</v>
      </c>
      <c r="E176" t="s">
        <v>31</v>
      </c>
      <c r="F176" t="s">
        <v>48</v>
      </c>
      <c r="G176" t="s">
        <v>53</v>
      </c>
      <c r="H176" t="s">
        <v>40</v>
      </c>
      <c r="I176" t="s">
        <v>33</v>
      </c>
      <c r="J176">
        <v>761</v>
      </c>
      <c r="K176" t="s">
        <v>29</v>
      </c>
      <c r="L176">
        <v>67</v>
      </c>
      <c r="M176">
        <v>4</v>
      </c>
      <c r="N176">
        <v>1</v>
      </c>
      <c r="O176" t="s">
        <v>29</v>
      </c>
      <c r="P176" t="s">
        <v>26</v>
      </c>
      <c r="Q176" t="s">
        <v>27</v>
      </c>
      <c r="R176" t="s">
        <v>44</v>
      </c>
      <c r="S176" t="s">
        <v>29</v>
      </c>
    </row>
    <row r="177" spans="1:19" x14ac:dyDescent="0.3">
      <c r="A177">
        <v>176</v>
      </c>
      <c r="B177">
        <v>2499</v>
      </c>
      <c r="C177">
        <v>28</v>
      </c>
      <c r="D177" t="s">
        <v>19</v>
      </c>
      <c r="E177" t="s">
        <v>38</v>
      </c>
      <c r="F177" t="s">
        <v>21</v>
      </c>
      <c r="G177" t="s">
        <v>55</v>
      </c>
      <c r="H177" t="s">
        <v>23</v>
      </c>
      <c r="I177" t="s">
        <v>33</v>
      </c>
      <c r="J177">
        <v>631</v>
      </c>
      <c r="K177" t="s">
        <v>25</v>
      </c>
      <c r="L177">
        <v>80</v>
      </c>
      <c r="M177">
        <v>11</v>
      </c>
      <c r="N177">
        <v>1</v>
      </c>
      <c r="O177" t="s">
        <v>25</v>
      </c>
      <c r="P177" t="s">
        <v>51</v>
      </c>
      <c r="Q177" t="s">
        <v>27</v>
      </c>
      <c r="R177" t="s">
        <v>46</v>
      </c>
      <c r="S177" t="s">
        <v>25</v>
      </c>
    </row>
    <row r="178" spans="1:19" x14ac:dyDescent="0.3">
      <c r="A178">
        <v>177</v>
      </c>
      <c r="B178">
        <v>4631</v>
      </c>
      <c r="C178">
        <v>36</v>
      </c>
      <c r="D178" t="s">
        <v>52</v>
      </c>
      <c r="E178" t="s">
        <v>31</v>
      </c>
      <c r="F178" t="s">
        <v>48</v>
      </c>
      <c r="G178" t="s">
        <v>54</v>
      </c>
      <c r="H178" t="s">
        <v>45</v>
      </c>
      <c r="I178" t="s">
        <v>41</v>
      </c>
      <c r="J178">
        <v>400</v>
      </c>
      <c r="K178" t="s">
        <v>25</v>
      </c>
      <c r="L178">
        <v>96</v>
      </c>
      <c r="M178">
        <v>6</v>
      </c>
      <c r="N178">
        <v>4</v>
      </c>
      <c r="O178" t="s">
        <v>29</v>
      </c>
      <c r="P178" t="s">
        <v>51</v>
      </c>
      <c r="Q178" t="s">
        <v>43</v>
      </c>
      <c r="R178" t="s">
        <v>44</v>
      </c>
      <c r="S178" t="s">
        <v>25</v>
      </c>
    </row>
    <row r="179" spans="1:19" x14ac:dyDescent="0.3">
      <c r="A179">
        <v>178</v>
      </c>
      <c r="B179">
        <v>2127</v>
      </c>
      <c r="C179">
        <v>31</v>
      </c>
      <c r="D179" t="s">
        <v>56</v>
      </c>
      <c r="E179" t="s">
        <v>38</v>
      </c>
      <c r="F179" t="s">
        <v>48</v>
      </c>
      <c r="G179" t="s">
        <v>22</v>
      </c>
      <c r="H179" t="s">
        <v>40</v>
      </c>
      <c r="I179" t="s">
        <v>24</v>
      </c>
      <c r="J179">
        <v>151</v>
      </c>
      <c r="K179" t="s">
        <v>29</v>
      </c>
      <c r="L179">
        <v>20</v>
      </c>
      <c r="M179">
        <v>7</v>
      </c>
      <c r="N179">
        <v>5</v>
      </c>
      <c r="O179" t="s">
        <v>29</v>
      </c>
      <c r="P179" t="s">
        <v>42</v>
      </c>
      <c r="Q179" t="s">
        <v>27</v>
      </c>
      <c r="R179" t="s">
        <v>28</v>
      </c>
      <c r="S179" t="s">
        <v>29</v>
      </c>
    </row>
    <row r="180" spans="1:19" x14ac:dyDescent="0.3">
      <c r="A180">
        <v>179</v>
      </c>
      <c r="B180">
        <v>4074</v>
      </c>
      <c r="C180">
        <v>19</v>
      </c>
      <c r="D180" t="s">
        <v>30</v>
      </c>
      <c r="E180" t="s">
        <v>31</v>
      </c>
      <c r="F180" t="s">
        <v>21</v>
      </c>
      <c r="G180" t="s">
        <v>32</v>
      </c>
      <c r="H180" t="s">
        <v>49</v>
      </c>
      <c r="I180" t="s">
        <v>33</v>
      </c>
      <c r="J180">
        <v>986</v>
      </c>
      <c r="K180" t="s">
        <v>25</v>
      </c>
      <c r="L180">
        <v>66</v>
      </c>
      <c r="M180">
        <v>8</v>
      </c>
      <c r="N180">
        <v>1</v>
      </c>
      <c r="O180" t="s">
        <v>29</v>
      </c>
      <c r="P180" t="s">
        <v>34</v>
      </c>
      <c r="Q180" t="s">
        <v>35</v>
      </c>
      <c r="R180" t="s">
        <v>44</v>
      </c>
      <c r="S180" t="s">
        <v>25</v>
      </c>
    </row>
    <row r="181" spans="1:19" x14ac:dyDescent="0.3">
      <c r="A181">
        <v>180</v>
      </c>
      <c r="B181">
        <v>4035</v>
      </c>
      <c r="C181">
        <v>44</v>
      </c>
      <c r="D181" t="s">
        <v>19</v>
      </c>
      <c r="E181" t="s">
        <v>50</v>
      </c>
      <c r="F181" t="s">
        <v>21</v>
      </c>
      <c r="G181" t="s">
        <v>55</v>
      </c>
      <c r="H181" t="s">
        <v>40</v>
      </c>
      <c r="I181" t="s">
        <v>41</v>
      </c>
      <c r="J181">
        <v>416</v>
      </c>
      <c r="K181" t="s">
        <v>29</v>
      </c>
      <c r="L181">
        <v>59</v>
      </c>
      <c r="M181">
        <v>6</v>
      </c>
      <c r="N181">
        <v>1</v>
      </c>
      <c r="O181" t="s">
        <v>25</v>
      </c>
      <c r="P181" t="s">
        <v>34</v>
      </c>
      <c r="Q181" t="s">
        <v>27</v>
      </c>
      <c r="R181" t="s">
        <v>28</v>
      </c>
      <c r="S181" t="s">
        <v>29</v>
      </c>
    </row>
    <row r="182" spans="1:19" x14ac:dyDescent="0.3">
      <c r="A182">
        <v>181</v>
      </c>
      <c r="B182">
        <v>4574</v>
      </c>
      <c r="C182">
        <v>24</v>
      </c>
      <c r="D182" t="s">
        <v>37</v>
      </c>
      <c r="E182" t="s">
        <v>31</v>
      </c>
      <c r="F182" t="s">
        <v>48</v>
      </c>
      <c r="G182" t="s">
        <v>55</v>
      </c>
      <c r="H182" t="s">
        <v>23</v>
      </c>
      <c r="I182" t="s">
        <v>33</v>
      </c>
      <c r="J182">
        <v>895</v>
      </c>
      <c r="K182" t="s">
        <v>29</v>
      </c>
      <c r="L182">
        <v>88</v>
      </c>
      <c r="M182">
        <v>3</v>
      </c>
      <c r="N182">
        <v>5</v>
      </c>
      <c r="O182" t="s">
        <v>29</v>
      </c>
      <c r="P182" t="s">
        <v>34</v>
      </c>
      <c r="Q182" t="s">
        <v>27</v>
      </c>
      <c r="R182" t="s">
        <v>46</v>
      </c>
      <c r="S182" t="s">
        <v>25</v>
      </c>
    </row>
    <row r="183" spans="1:19" x14ac:dyDescent="0.3">
      <c r="A183">
        <v>182</v>
      </c>
      <c r="B183">
        <v>3734</v>
      </c>
      <c r="C183">
        <v>36</v>
      </c>
      <c r="D183" t="s">
        <v>37</v>
      </c>
      <c r="E183" t="s">
        <v>31</v>
      </c>
      <c r="F183" t="s">
        <v>48</v>
      </c>
      <c r="G183" t="s">
        <v>22</v>
      </c>
      <c r="H183" t="s">
        <v>23</v>
      </c>
      <c r="I183" t="s">
        <v>33</v>
      </c>
      <c r="J183">
        <v>119</v>
      </c>
      <c r="K183" t="s">
        <v>25</v>
      </c>
      <c r="L183">
        <v>27</v>
      </c>
      <c r="M183">
        <v>9</v>
      </c>
      <c r="N183">
        <v>1</v>
      </c>
      <c r="O183" t="s">
        <v>25</v>
      </c>
      <c r="P183" t="s">
        <v>34</v>
      </c>
      <c r="Q183" t="s">
        <v>27</v>
      </c>
      <c r="R183" t="s">
        <v>44</v>
      </c>
      <c r="S183" t="s">
        <v>25</v>
      </c>
    </row>
    <row r="184" spans="1:19" x14ac:dyDescent="0.3">
      <c r="A184">
        <v>183</v>
      </c>
      <c r="B184">
        <v>2662</v>
      </c>
      <c r="C184">
        <v>37</v>
      </c>
      <c r="D184" t="s">
        <v>30</v>
      </c>
      <c r="E184" t="s">
        <v>31</v>
      </c>
      <c r="F184" t="s">
        <v>21</v>
      </c>
      <c r="G184" t="s">
        <v>54</v>
      </c>
      <c r="H184" t="s">
        <v>45</v>
      </c>
      <c r="I184" t="s">
        <v>24</v>
      </c>
      <c r="J184">
        <v>635</v>
      </c>
      <c r="K184" t="s">
        <v>29</v>
      </c>
      <c r="L184">
        <v>77</v>
      </c>
      <c r="M184">
        <v>8</v>
      </c>
      <c r="N184">
        <v>2</v>
      </c>
      <c r="O184" t="s">
        <v>25</v>
      </c>
      <c r="P184" t="s">
        <v>26</v>
      </c>
      <c r="Q184" t="s">
        <v>35</v>
      </c>
      <c r="R184" t="s">
        <v>46</v>
      </c>
      <c r="S184" t="s">
        <v>29</v>
      </c>
    </row>
    <row r="185" spans="1:19" x14ac:dyDescent="0.3">
      <c r="A185">
        <v>184</v>
      </c>
      <c r="B185">
        <v>3659</v>
      </c>
      <c r="C185">
        <v>26</v>
      </c>
      <c r="D185" t="s">
        <v>47</v>
      </c>
      <c r="E185" t="s">
        <v>31</v>
      </c>
      <c r="F185" t="s">
        <v>48</v>
      </c>
      <c r="G185" t="s">
        <v>39</v>
      </c>
      <c r="H185" t="s">
        <v>45</v>
      </c>
      <c r="I185" t="s">
        <v>33</v>
      </c>
      <c r="J185">
        <v>509</v>
      </c>
      <c r="K185" t="s">
        <v>29</v>
      </c>
      <c r="L185">
        <v>97</v>
      </c>
      <c r="M185">
        <v>1</v>
      </c>
      <c r="N185">
        <v>1</v>
      </c>
      <c r="O185" t="s">
        <v>29</v>
      </c>
      <c r="P185" t="s">
        <v>51</v>
      </c>
      <c r="Q185" t="s">
        <v>27</v>
      </c>
      <c r="R185" t="s">
        <v>28</v>
      </c>
      <c r="S185" t="s">
        <v>25</v>
      </c>
    </row>
    <row r="186" spans="1:19" x14ac:dyDescent="0.3">
      <c r="A186">
        <v>185</v>
      </c>
      <c r="B186">
        <v>3601</v>
      </c>
      <c r="C186">
        <v>23</v>
      </c>
      <c r="D186" t="s">
        <v>19</v>
      </c>
      <c r="E186" t="s">
        <v>20</v>
      </c>
      <c r="F186" t="s">
        <v>48</v>
      </c>
      <c r="G186" t="s">
        <v>39</v>
      </c>
      <c r="H186" t="s">
        <v>45</v>
      </c>
      <c r="I186" t="s">
        <v>24</v>
      </c>
      <c r="J186">
        <v>233</v>
      </c>
      <c r="K186" t="s">
        <v>25</v>
      </c>
      <c r="L186">
        <v>89</v>
      </c>
      <c r="M186">
        <v>4</v>
      </c>
      <c r="N186">
        <v>2</v>
      </c>
      <c r="O186" t="s">
        <v>25</v>
      </c>
      <c r="P186" t="s">
        <v>26</v>
      </c>
      <c r="Q186" t="s">
        <v>35</v>
      </c>
      <c r="R186" t="s">
        <v>36</v>
      </c>
      <c r="S186" t="s">
        <v>25</v>
      </c>
    </row>
    <row r="187" spans="1:19" x14ac:dyDescent="0.3">
      <c r="A187">
        <v>186</v>
      </c>
      <c r="B187">
        <v>3326</v>
      </c>
      <c r="C187">
        <v>31</v>
      </c>
      <c r="D187" t="s">
        <v>30</v>
      </c>
      <c r="E187" t="s">
        <v>38</v>
      </c>
      <c r="F187" t="s">
        <v>21</v>
      </c>
      <c r="G187" t="s">
        <v>39</v>
      </c>
      <c r="H187" t="s">
        <v>45</v>
      </c>
      <c r="I187" t="s">
        <v>33</v>
      </c>
      <c r="J187">
        <v>607</v>
      </c>
      <c r="K187" t="s">
        <v>25</v>
      </c>
      <c r="L187">
        <v>41</v>
      </c>
      <c r="M187">
        <v>8</v>
      </c>
      <c r="N187">
        <v>2</v>
      </c>
      <c r="O187" t="s">
        <v>25</v>
      </c>
      <c r="P187" t="s">
        <v>26</v>
      </c>
      <c r="Q187" t="s">
        <v>27</v>
      </c>
      <c r="R187" t="s">
        <v>46</v>
      </c>
      <c r="S187" t="s">
        <v>25</v>
      </c>
    </row>
    <row r="188" spans="1:19" x14ac:dyDescent="0.3">
      <c r="A188">
        <v>187</v>
      </c>
      <c r="B188">
        <v>3846</v>
      </c>
      <c r="C188">
        <v>26</v>
      </c>
      <c r="D188" t="s">
        <v>30</v>
      </c>
      <c r="E188" t="s">
        <v>50</v>
      </c>
      <c r="F188" t="s">
        <v>21</v>
      </c>
      <c r="G188" t="s">
        <v>53</v>
      </c>
      <c r="H188" t="s">
        <v>40</v>
      </c>
      <c r="I188" t="s">
        <v>41</v>
      </c>
      <c r="J188">
        <v>722</v>
      </c>
      <c r="K188" t="s">
        <v>29</v>
      </c>
      <c r="L188">
        <v>85</v>
      </c>
      <c r="M188">
        <v>7</v>
      </c>
      <c r="N188">
        <v>2</v>
      </c>
      <c r="O188" t="s">
        <v>25</v>
      </c>
      <c r="P188" t="s">
        <v>51</v>
      </c>
      <c r="Q188" t="s">
        <v>43</v>
      </c>
      <c r="R188" t="s">
        <v>44</v>
      </c>
      <c r="S188" t="s">
        <v>29</v>
      </c>
    </row>
    <row r="189" spans="1:19" x14ac:dyDescent="0.3">
      <c r="A189">
        <v>188</v>
      </c>
      <c r="B189">
        <v>3470</v>
      </c>
      <c r="C189">
        <v>30</v>
      </c>
      <c r="D189" t="s">
        <v>19</v>
      </c>
      <c r="E189" t="s">
        <v>31</v>
      </c>
      <c r="F189" t="s">
        <v>21</v>
      </c>
      <c r="G189" t="s">
        <v>32</v>
      </c>
      <c r="H189" t="s">
        <v>45</v>
      </c>
      <c r="I189" t="s">
        <v>33</v>
      </c>
      <c r="J189">
        <v>476</v>
      </c>
      <c r="K189" t="s">
        <v>29</v>
      </c>
      <c r="L189">
        <v>77</v>
      </c>
      <c r="M189">
        <v>3</v>
      </c>
      <c r="N189">
        <v>3</v>
      </c>
      <c r="O189" t="s">
        <v>25</v>
      </c>
      <c r="P189" t="s">
        <v>26</v>
      </c>
      <c r="Q189" t="s">
        <v>27</v>
      </c>
      <c r="R189" t="s">
        <v>46</v>
      </c>
      <c r="S189" t="s">
        <v>29</v>
      </c>
    </row>
    <row r="190" spans="1:19" x14ac:dyDescent="0.3">
      <c r="A190">
        <v>189</v>
      </c>
      <c r="B190">
        <v>1934</v>
      </c>
      <c r="C190">
        <v>18</v>
      </c>
      <c r="D190" t="s">
        <v>19</v>
      </c>
      <c r="E190" t="s">
        <v>31</v>
      </c>
      <c r="F190" t="s">
        <v>48</v>
      </c>
      <c r="G190" t="s">
        <v>22</v>
      </c>
      <c r="H190" t="s">
        <v>23</v>
      </c>
      <c r="I190" t="s">
        <v>33</v>
      </c>
      <c r="J190">
        <v>110</v>
      </c>
      <c r="K190" t="s">
        <v>29</v>
      </c>
      <c r="L190">
        <v>60</v>
      </c>
      <c r="M190">
        <v>8</v>
      </c>
      <c r="N190">
        <v>1</v>
      </c>
      <c r="O190" t="s">
        <v>25</v>
      </c>
      <c r="P190" t="s">
        <v>51</v>
      </c>
      <c r="Q190" t="s">
        <v>43</v>
      </c>
      <c r="R190" t="s">
        <v>46</v>
      </c>
      <c r="S190" t="s">
        <v>25</v>
      </c>
    </row>
    <row r="191" spans="1:19" x14ac:dyDescent="0.3">
      <c r="A191">
        <v>190</v>
      </c>
      <c r="B191">
        <v>3205</v>
      </c>
      <c r="C191">
        <v>41</v>
      </c>
      <c r="D191" t="s">
        <v>56</v>
      </c>
      <c r="E191" t="s">
        <v>31</v>
      </c>
      <c r="F191" t="s">
        <v>48</v>
      </c>
      <c r="G191" t="s">
        <v>39</v>
      </c>
      <c r="H191" t="s">
        <v>45</v>
      </c>
      <c r="I191" t="s">
        <v>41</v>
      </c>
      <c r="J191">
        <v>677</v>
      </c>
      <c r="K191" t="s">
        <v>25</v>
      </c>
      <c r="L191">
        <v>22</v>
      </c>
      <c r="M191">
        <v>5</v>
      </c>
      <c r="N191">
        <v>4</v>
      </c>
      <c r="O191" t="s">
        <v>29</v>
      </c>
      <c r="P191" t="s">
        <v>51</v>
      </c>
      <c r="Q191" t="s">
        <v>27</v>
      </c>
      <c r="R191" t="s">
        <v>44</v>
      </c>
      <c r="S191" t="s">
        <v>29</v>
      </c>
    </row>
    <row r="192" spans="1:19" x14ac:dyDescent="0.3">
      <c r="A192">
        <v>191</v>
      </c>
      <c r="B192">
        <v>1508</v>
      </c>
      <c r="C192">
        <v>19</v>
      </c>
      <c r="D192" t="s">
        <v>56</v>
      </c>
      <c r="E192" t="s">
        <v>20</v>
      </c>
      <c r="F192" t="s">
        <v>21</v>
      </c>
      <c r="G192" t="s">
        <v>55</v>
      </c>
      <c r="H192" t="s">
        <v>49</v>
      </c>
      <c r="I192" t="s">
        <v>33</v>
      </c>
      <c r="J192">
        <v>563</v>
      </c>
      <c r="K192" t="s">
        <v>25</v>
      </c>
      <c r="L192">
        <v>98</v>
      </c>
      <c r="M192">
        <v>12</v>
      </c>
      <c r="N192">
        <v>3</v>
      </c>
      <c r="O192" t="s">
        <v>29</v>
      </c>
      <c r="P192" t="s">
        <v>34</v>
      </c>
      <c r="Q192" t="s">
        <v>27</v>
      </c>
      <c r="R192" t="s">
        <v>28</v>
      </c>
      <c r="S192" t="s">
        <v>25</v>
      </c>
    </row>
    <row r="193" spans="1:19" x14ac:dyDescent="0.3">
      <c r="A193">
        <v>192</v>
      </c>
      <c r="B193">
        <v>1084</v>
      </c>
      <c r="C193">
        <v>40</v>
      </c>
      <c r="D193" t="s">
        <v>47</v>
      </c>
      <c r="E193" t="s">
        <v>50</v>
      </c>
      <c r="F193" t="s">
        <v>48</v>
      </c>
      <c r="G193" t="s">
        <v>32</v>
      </c>
      <c r="H193" t="s">
        <v>40</v>
      </c>
      <c r="I193" t="s">
        <v>33</v>
      </c>
      <c r="J193">
        <v>524</v>
      </c>
      <c r="K193" t="s">
        <v>25</v>
      </c>
      <c r="L193">
        <v>29</v>
      </c>
      <c r="M193">
        <v>4</v>
      </c>
      <c r="N193">
        <v>1</v>
      </c>
      <c r="O193" t="s">
        <v>25</v>
      </c>
      <c r="P193" t="s">
        <v>51</v>
      </c>
      <c r="Q193" t="s">
        <v>43</v>
      </c>
      <c r="R193" t="s">
        <v>36</v>
      </c>
      <c r="S193" t="s">
        <v>29</v>
      </c>
    </row>
    <row r="194" spans="1:19" x14ac:dyDescent="0.3">
      <c r="A194">
        <v>193</v>
      </c>
      <c r="B194">
        <v>4855</v>
      </c>
      <c r="C194">
        <v>43</v>
      </c>
      <c r="D194" t="s">
        <v>47</v>
      </c>
      <c r="E194" t="s">
        <v>50</v>
      </c>
      <c r="F194" t="s">
        <v>21</v>
      </c>
      <c r="G194" t="s">
        <v>22</v>
      </c>
      <c r="H194" t="s">
        <v>45</v>
      </c>
      <c r="I194" t="s">
        <v>41</v>
      </c>
      <c r="J194">
        <v>719</v>
      </c>
      <c r="K194" t="s">
        <v>25</v>
      </c>
      <c r="L194">
        <v>42</v>
      </c>
      <c r="M194">
        <v>11</v>
      </c>
      <c r="N194">
        <v>3</v>
      </c>
      <c r="O194" t="s">
        <v>25</v>
      </c>
      <c r="P194" t="s">
        <v>42</v>
      </c>
      <c r="Q194" t="s">
        <v>43</v>
      </c>
      <c r="R194" t="s">
        <v>46</v>
      </c>
      <c r="S194" t="s">
        <v>29</v>
      </c>
    </row>
    <row r="195" spans="1:19" x14ac:dyDescent="0.3">
      <c r="A195">
        <v>194</v>
      </c>
      <c r="B195">
        <v>1478</v>
      </c>
      <c r="C195">
        <v>27</v>
      </c>
      <c r="D195" t="s">
        <v>47</v>
      </c>
      <c r="E195" t="s">
        <v>31</v>
      </c>
      <c r="F195" t="s">
        <v>48</v>
      </c>
      <c r="G195" t="s">
        <v>32</v>
      </c>
      <c r="H195" t="s">
        <v>40</v>
      </c>
      <c r="I195" t="s">
        <v>33</v>
      </c>
      <c r="J195">
        <v>800</v>
      </c>
      <c r="K195" t="s">
        <v>25</v>
      </c>
      <c r="L195">
        <v>70</v>
      </c>
      <c r="M195">
        <v>12</v>
      </c>
      <c r="N195">
        <v>2</v>
      </c>
      <c r="O195" t="s">
        <v>25</v>
      </c>
      <c r="P195" t="s">
        <v>42</v>
      </c>
      <c r="Q195" t="s">
        <v>27</v>
      </c>
      <c r="R195" t="s">
        <v>36</v>
      </c>
      <c r="S195" t="s">
        <v>29</v>
      </c>
    </row>
    <row r="196" spans="1:19" x14ac:dyDescent="0.3">
      <c r="A196">
        <v>195</v>
      </c>
      <c r="B196">
        <v>4731</v>
      </c>
      <c r="C196">
        <v>21</v>
      </c>
      <c r="D196" t="s">
        <v>37</v>
      </c>
      <c r="E196" t="s">
        <v>38</v>
      </c>
      <c r="F196" t="s">
        <v>48</v>
      </c>
      <c r="G196" t="s">
        <v>55</v>
      </c>
      <c r="H196" t="s">
        <v>23</v>
      </c>
      <c r="I196" t="s">
        <v>33</v>
      </c>
      <c r="J196">
        <v>226</v>
      </c>
      <c r="K196" t="s">
        <v>29</v>
      </c>
      <c r="L196">
        <v>63</v>
      </c>
      <c r="M196">
        <v>4</v>
      </c>
      <c r="N196">
        <v>4</v>
      </c>
      <c r="O196" t="s">
        <v>29</v>
      </c>
      <c r="P196" t="s">
        <v>51</v>
      </c>
      <c r="Q196" t="s">
        <v>27</v>
      </c>
      <c r="R196" t="s">
        <v>44</v>
      </c>
      <c r="S196" t="s">
        <v>25</v>
      </c>
    </row>
    <row r="197" spans="1:19" x14ac:dyDescent="0.3">
      <c r="A197">
        <v>196</v>
      </c>
      <c r="B197">
        <v>1941</v>
      </c>
      <c r="C197">
        <v>38</v>
      </c>
      <c r="D197" t="s">
        <v>19</v>
      </c>
      <c r="E197" t="s">
        <v>50</v>
      </c>
      <c r="F197" t="s">
        <v>48</v>
      </c>
      <c r="G197" t="s">
        <v>32</v>
      </c>
      <c r="H197" t="s">
        <v>45</v>
      </c>
      <c r="I197" t="s">
        <v>41</v>
      </c>
      <c r="J197">
        <v>492</v>
      </c>
      <c r="K197" t="s">
        <v>29</v>
      </c>
      <c r="L197">
        <v>43</v>
      </c>
      <c r="M197">
        <v>2</v>
      </c>
      <c r="N197">
        <v>5</v>
      </c>
      <c r="O197" t="s">
        <v>25</v>
      </c>
      <c r="P197" t="s">
        <v>26</v>
      </c>
      <c r="Q197" t="s">
        <v>35</v>
      </c>
      <c r="R197" t="s">
        <v>46</v>
      </c>
      <c r="S197" t="s">
        <v>29</v>
      </c>
    </row>
    <row r="198" spans="1:19" x14ac:dyDescent="0.3">
      <c r="A198">
        <v>197</v>
      </c>
      <c r="B198">
        <v>1194</v>
      </c>
      <c r="C198">
        <v>24</v>
      </c>
      <c r="D198" t="s">
        <v>37</v>
      </c>
      <c r="E198" t="s">
        <v>31</v>
      </c>
      <c r="F198" t="s">
        <v>21</v>
      </c>
      <c r="G198" t="s">
        <v>32</v>
      </c>
      <c r="H198" t="s">
        <v>49</v>
      </c>
      <c r="I198" t="s">
        <v>41</v>
      </c>
      <c r="J198">
        <v>516</v>
      </c>
      <c r="K198" t="s">
        <v>29</v>
      </c>
      <c r="L198">
        <v>45</v>
      </c>
      <c r="M198">
        <v>3</v>
      </c>
      <c r="N198">
        <v>5</v>
      </c>
      <c r="O198" t="s">
        <v>29</v>
      </c>
      <c r="P198" t="s">
        <v>26</v>
      </c>
      <c r="Q198" t="s">
        <v>43</v>
      </c>
      <c r="R198" t="s">
        <v>36</v>
      </c>
      <c r="S198" t="s">
        <v>25</v>
      </c>
    </row>
    <row r="199" spans="1:19" x14ac:dyDescent="0.3">
      <c r="A199">
        <v>198</v>
      </c>
      <c r="B199">
        <v>1732</v>
      </c>
      <c r="C199">
        <v>28</v>
      </c>
      <c r="D199" t="s">
        <v>19</v>
      </c>
      <c r="E199" t="s">
        <v>38</v>
      </c>
      <c r="F199" t="s">
        <v>21</v>
      </c>
      <c r="G199" t="s">
        <v>55</v>
      </c>
      <c r="H199" t="s">
        <v>23</v>
      </c>
      <c r="I199" t="s">
        <v>41</v>
      </c>
      <c r="J199">
        <v>136</v>
      </c>
      <c r="K199" t="s">
        <v>25</v>
      </c>
      <c r="L199">
        <v>49</v>
      </c>
      <c r="M199">
        <v>8</v>
      </c>
      <c r="N199">
        <v>5</v>
      </c>
      <c r="O199" t="s">
        <v>25</v>
      </c>
      <c r="P199" t="s">
        <v>34</v>
      </c>
      <c r="Q199" t="s">
        <v>35</v>
      </c>
      <c r="R199" t="s">
        <v>44</v>
      </c>
      <c r="S199" t="s">
        <v>25</v>
      </c>
    </row>
    <row r="200" spans="1:19" x14ac:dyDescent="0.3">
      <c r="A200">
        <v>199</v>
      </c>
      <c r="B200">
        <v>2912</v>
      </c>
      <c r="C200">
        <v>44</v>
      </c>
      <c r="D200" t="s">
        <v>47</v>
      </c>
      <c r="E200" t="s">
        <v>20</v>
      </c>
      <c r="F200" t="s">
        <v>48</v>
      </c>
      <c r="G200" t="s">
        <v>54</v>
      </c>
      <c r="H200" t="s">
        <v>40</v>
      </c>
      <c r="I200" t="s">
        <v>33</v>
      </c>
      <c r="J200">
        <v>918</v>
      </c>
      <c r="K200" t="s">
        <v>29</v>
      </c>
      <c r="L200">
        <v>74</v>
      </c>
      <c r="M200">
        <v>5</v>
      </c>
      <c r="N200">
        <v>3</v>
      </c>
      <c r="O200" t="s">
        <v>25</v>
      </c>
      <c r="P200" t="s">
        <v>42</v>
      </c>
      <c r="Q200" t="s">
        <v>35</v>
      </c>
      <c r="R200" t="s">
        <v>36</v>
      </c>
      <c r="S200" t="s">
        <v>25</v>
      </c>
    </row>
    <row r="201" spans="1:19" x14ac:dyDescent="0.3">
      <c r="A201">
        <v>200</v>
      </c>
      <c r="B201">
        <v>3690</v>
      </c>
      <c r="C201">
        <v>35</v>
      </c>
      <c r="D201" t="s">
        <v>56</v>
      </c>
      <c r="E201" t="s">
        <v>31</v>
      </c>
      <c r="F201" t="s">
        <v>21</v>
      </c>
      <c r="G201" t="s">
        <v>32</v>
      </c>
      <c r="H201" t="s">
        <v>45</v>
      </c>
      <c r="I201" t="s">
        <v>24</v>
      </c>
      <c r="J201">
        <v>738</v>
      </c>
      <c r="K201" t="s">
        <v>25</v>
      </c>
      <c r="L201">
        <v>88</v>
      </c>
      <c r="M201">
        <v>10</v>
      </c>
      <c r="N201">
        <v>5</v>
      </c>
      <c r="O201" t="s">
        <v>25</v>
      </c>
      <c r="P201" t="s">
        <v>26</v>
      </c>
      <c r="Q201" t="s">
        <v>27</v>
      </c>
      <c r="R201" t="s">
        <v>46</v>
      </c>
      <c r="S201" t="s">
        <v>25</v>
      </c>
    </row>
    <row r="50001" spans="1:1" x14ac:dyDescent="0.3">
      <c r="A50001">
        <v>20000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food_ordering_behavior_dataset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nrajasvarma2005@gmail.com</cp:lastModifiedBy>
  <dcterms:created xsi:type="dcterms:W3CDTF">2026-03-29T14:23:17Z</dcterms:created>
  <dcterms:modified xsi:type="dcterms:W3CDTF">2026-03-29T16:21:53Z</dcterms:modified>
</cp:coreProperties>
</file>